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dmin\Desktop\datascience\excel\assign\"/>
    </mc:Choice>
  </mc:AlternateContent>
  <xr:revisionPtr revIDLastSave="0" documentId="13_ncr:1_{962BDB4F-C180-4A74-9840-C289095FFE94}" xr6:coauthVersionLast="47" xr6:coauthVersionMax="47" xr10:uidLastSave="{00000000-0000-0000-0000-000000000000}"/>
  <bookViews>
    <workbookView xWindow="-110" yWindow="-110" windowWidth="19420" windowHeight="10300" xr2:uid="{806BCAF3-3F87-4DA0-B6D5-0F0ACE6C1A1A}"/>
  </bookViews>
  <sheets>
    <sheet name="Excel_jumia_dataset assignment " sheetId="1" r:id="rId1"/>
    <sheet name="PIVOT" sheetId="2" r:id="rId2"/>
    <sheet name="DASHBOARD" sheetId="3" r:id="rId3"/>
  </sheets>
  <definedNames>
    <definedName name="_xlnm._FilterDatabase" localSheetId="0" hidden="1">'Excel_jumia_dataset assignment '!$J$1:$J$231</definedName>
    <definedName name="Slicer_category_Rating">#N/A</definedName>
    <definedName name="Slicer_Discount_category">#N/A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a="1"/>
  <c r="L3" i="1" s="1"/>
  <c r="L4" i="1" a="1"/>
  <c r="L4" i="1" s="1"/>
  <c r="L5" i="1" a="1"/>
  <c r="L5" i="1" s="1"/>
  <c r="L6" i="1" a="1"/>
  <c r="L6" i="1"/>
  <c r="L7" i="1" a="1"/>
  <c r="L7" i="1" s="1"/>
  <c r="L8" i="1" a="1"/>
  <c r="L8" i="1" s="1"/>
  <c r="L9" i="1" a="1"/>
  <c r="L9" i="1" s="1"/>
  <c r="L10" i="1" a="1"/>
  <c r="L10" i="1"/>
  <c r="L11" i="1" a="1"/>
  <c r="L11" i="1" s="1"/>
  <c r="L12" i="1" a="1"/>
  <c r="L12" i="1" s="1"/>
  <c r="L13" i="1" a="1"/>
  <c r="L13" i="1" s="1"/>
  <c r="L14" i="1" a="1"/>
  <c r="L14" i="1"/>
  <c r="L15" i="1" a="1"/>
  <c r="L15" i="1" s="1"/>
  <c r="L16" i="1" a="1"/>
  <c r="L16" i="1" s="1"/>
  <c r="L17" i="1" a="1"/>
  <c r="L17" i="1" s="1"/>
  <c r="L18" i="1" a="1"/>
  <c r="L18" i="1"/>
  <c r="L19" i="1" a="1"/>
  <c r="L19" i="1" s="1"/>
  <c r="L20" i="1" a="1"/>
  <c r="L20" i="1" s="1"/>
  <c r="L21" i="1" a="1"/>
  <c r="L21" i="1" s="1"/>
  <c r="L22" i="1" a="1"/>
  <c r="L22" i="1"/>
  <c r="L23" i="1" a="1"/>
  <c r="L23" i="1" s="1"/>
  <c r="L24" i="1" a="1"/>
  <c r="L24" i="1" s="1"/>
  <c r="L25" i="1" a="1"/>
  <c r="L25" i="1" s="1"/>
  <c r="L26" i="1" a="1"/>
  <c r="L26" i="1"/>
  <c r="L27" i="1" a="1"/>
  <c r="L27" i="1" s="1"/>
  <c r="L28" i="1" a="1"/>
  <c r="L28" i="1" s="1"/>
  <c r="L29" i="1" a="1"/>
  <c r="L29" i="1" s="1"/>
  <c r="L30" i="1" a="1"/>
  <c r="L30" i="1"/>
  <c r="L31" i="1" a="1"/>
  <c r="L31" i="1" s="1"/>
  <c r="L32" i="1" a="1"/>
  <c r="L32" i="1" s="1"/>
  <c r="L33" i="1" a="1"/>
  <c r="L33" i="1" s="1"/>
  <c r="L34" i="1" a="1"/>
  <c r="L34" i="1"/>
  <c r="L35" i="1" a="1"/>
  <c r="L35" i="1" s="1"/>
  <c r="L36" i="1" a="1"/>
  <c r="L36" i="1" s="1"/>
  <c r="L37" i="1" a="1"/>
  <c r="L37" i="1" s="1"/>
  <c r="L38" i="1" a="1"/>
  <c r="L38" i="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2" i="1" a="1"/>
  <c r="L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2" i="1"/>
  <c r="P42" i="1"/>
  <c r="B131" i="1"/>
  <c r="B130" i="1"/>
  <c r="B128" i="1"/>
  <c r="B129" i="1" s="1"/>
  <c r="B126" i="1"/>
  <c r="B127" i="1" s="1"/>
  <c r="B121" i="1"/>
  <c r="B120" i="1"/>
  <c r="G3" i="1" a="1"/>
  <c r="G3" i="1" s="1"/>
  <c r="G4" i="1" a="1"/>
  <c r="G4" i="1" s="1"/>
  <c r="G5" i="1" a="1"/>
  <c r="G5" i="1" s="1"/>
  <c r="G6" i="1" a="1"/>
  <c r="G6" i="1" s="1"/>
  <c r="G7" i="1" a="1"/>
  <c r="G7" i="1" s="1"/>
  <c r="G8" i="1" a="1"/>
  <c r="G8" i="1" s="1"/>
  <c r="G9" i="1" a="1"/>
  <c r="G9" i="1" s="1"/>
  <c r="G10" i="1" a="1"/>
  <c r="G10" i="1" s="1"/>
  <c r="G11" i="1" a="1"/>
  <c r="G11" i="1" s="1"/>
  <c r="G12" i="1" a="1"/>
  <c r="G12" i="1"/>
  <c r="G13" i="1" a="1"/>
  <c r="G13" i="1" s="1"/>
  <c r="G14" i="1" a="1"/>
  <c r="G14" i="1"/>
  <c r="G15" i="1" a="1"/>
  <c r="G15" i="1" s="1"/>
  <c r="G16" i="1" a="1"/>
  <c r="G16" i="1"/>
  <c r="G17" i="1" a="1"/>
  <c r="G17" i="1" s="1"/>
  <c r="G18" i="1" a="1"/>
  <c r="G18" i="1" s="1"/>
  <c r="G19" i="1" a="1"/>
  <c r="G19" i="1" s="1"/>
  <c r="G20" i="1" a="1"/>
  <c r="G20" i="1"/>
  <c r="G21" i="1" a="1"/>
  <c r="G21" i="1" s="1"/>
  <c r="G22" i="1" a="1"/>
  <c r="G22" i="1" s="1"/>
  <c r="G23" i="1" a="1"/>
  <c r="G23" i="1" s="1"/>
  <c r="G24" i="1" a="1"/>
  <c r="G24" i="1" s="1"/>
  <c r="G25" i="1" a="1"/>
  <c r="G25" i="1" s="1"/>
  <c r="G26" i="1" a="1"/>
  <c r="G26" i="1" s="1"/>
  <c r="G27" i="1" a="1"/>
  <c r="G27" i="1" s="1"/>
  <c r="G28" i="1" a="1"/>
  <c r="G28" i="1"/>
  <c r="G29" i="1" a="1"/>
  <c r="G29" i="1" s="1"/>
  <c r="G30" i="1" a="1"/>
  <c r="G30" i="1"/>
  <c r="G31" i="1" a="1"/>
  <c r="G31" i="1" s="1"/>
  <c r="G32" i="1" a="1"/>
  <c r="G32" i="1"/>
  <c r="G33" i="1" a="1"/>
  <c r="G33" i="1" s="1"/>
  <c r="G34" i="1" a="1"/>
  <c r="G34" i="1" s="1"/>
  <c r="G35" i="1" a="1"/>
  <c r="G35" i="1" s="1"/>
  <c r="G36" i="1" a="1"/>
  <c r="G36" i="1"/>
  <c r="G37" i="1" a="1"/>
  <c r="G37" i="1" s="1"/>
  <c r="G38" i="1" a="1"/>
  <c r="G38" i="1" s="1"/>
  <c r="G39" i="1" a="1"/>
  <c r="G39" i="1" s="1"/>
  <c r="G40" i="1" a="1"/>
  <c r="G40" i="1" s="1"/>
  <c r="G41" i="1" a="1"/>
  <c r="G41" i="1" s="1"/>
  <c r="G42" i="1" a="1"/>
  <c r="G42" i="1" s="1"/>
  <c r="G43" i="1" a="1"/>
  <c r="G43" i="1" s="1"/>
  <c r="G44" i="1" a="1"/>
  <c r="G44" i="1"/>
  <c r="G45" i="1" a="1"/>
  <c r="G45" i="1" s="1"/>
  <c r="G46" i="1" a="1"/>
  <c r="G46" i="1"/>
  <c r="G47" i="1" a="1"/>
  <c r="G47" i="1" s="1"/>
  <c r="G48" i="1" a="1"/>
  <c r="G48" i="1"/>
  <c r="G49" i="1" a="1"/>
  <c r="G49" i="1" s="1"/>
  <c r="G50" i="1" a="1"/>
  <c r="G50" i="1" s="1"/>
  <c r="G51" i="1" a="1"/>
  <c r="G51" i="1" s="1"/>
  <c r="G52" i="1" a="1"/>
  <c r="G52" i="1"/>
  <c r="G53" i="1" a="1"/>
  <c r="G53" i="1" s="1"/>
  <c r="G54" i="1" a="1"/>
  <c r="G54" i="1" s="1"/>
  <c r="G55" i="1" a="1"/>
  <c r="G55" i="1" s="1"/>
  <c r="G56" i="1" a="1"/>
  <c r="G56" i="1" s="1"/>
  <c r="G57" i="1" a="1"/>
  <c r="G57" i="1" s="1"/>
  <c r="G58" i="1" a="1"/>
  <c r="G58" i="1" s="1"/>
  <c r="G59" i="1" a="1"/>
  <c r="G59" i="1" s="1"/>
  <c r="G60" i="1" a="1"/>
  <c r="G60" i="1"/>
  <c r="G61" i="1" a="1"/>
  <c r="G61" i="1" s="1"/>
  <c r="G62" i="1" a="1"/>
  <c r="G62" i="1"/>
  <c r="G63" i="1" a="1"/>
  <c r="G63" i="1" s="1"/>
  <c r="G64" i="1" a="1"/>
  <c r="G64" i="1"/>
  <c r="G65" i="1" a="1"/>
  <c r="G65" i="1" s="1"/>
  <c r="G66" i="1" a="1"/>
  <c r="G66" i="1" s="1"/>
  <c r="G67" i="1" a="1"/>
  <c r="G67" i="1" s="1"/>
  <c r="G68" i="1" a="1"/>
  <c r="G68" i="1"/>
  <c r="G69" i="1" a="1"/>
  <c r="G69" i="1" s="1"/>
  <c r="G70" i="1" a="1"/>
  <c r="G70" i="1" s="1"/>
  <c r="G71" i="1" a="1"/>
  <c r="G71" i="1" s="1"/>
  <c r="G72" i="1" a="1"/>
  <c r="G72" i="1" s="1"/>
  <c r="G73" i="1" a="1"/>
  <c r="G73" i="1" s="1"/>
  <c r="G74" i="1" a="1"/>
  <c r="G74" i="1" s="1"/>
  <c r="G75" i="1" a="1"/>
  <c r="G75" i="1" s="1"/>
  <c r="G76" i="1" a="1"/>
  <c r="G76" i="1"/>
  <c r="G77" i="1" a="1"/>
  <c r="G77" i="1" s="1"/>
  <c r="G78" i="1" a="1"/>
  <c r="G78" i="1"/>
  <c r="G79" i="1" a="1"/>
  <c r="G79" i="1" s="1"/>
  <c r="G80" i="1" a="1"/>
  <c r="G80" i="1"/>
  <c r="G81" i="1" a="1"/>
  <c r="G81" i="1" s="1"/>
  <c r="G82" i="1" a="1"/>
  <c r="G82" i="1" s="1"/>
  <c r="G83" i="1" a="1"/>
  <c r="G83" i="1" s="1"/>
  <c r="G84" i="1" a="1"/>
  <c r="G84" i="1"/>
  <c r="G85" i="1" a="1"/>
  <c r="G85" i="1" s="1"/>
  <c r="G86" i="1" a="1"/>
  <c r="G86" i="1" s="1"/>
  <c r="G87" i="1" a="1"/>
  <c r="G87" i="1" s="1"/>
  <c r="G88" i="1" a="1"/>
  <c r="G88" i="1" s="1"/>
  <c r="G89" i="1" a="1"/>
  <c r="G89" i="1" s="1"/>
  <c r="G90" i="1" a="1"/>
  <c r="G90" i="1" s="1"/>
  <c r="G91" i="1" a="1"/>
  <c r="G91" i="1" s="1"/>
  <c r="G92" i="1" a="1"/>
  <c r="G92" i="1"/>
  <c r="G93" i="1" a="1"/>
  <c r="G93" i="1" s="1"/>
  <c r="G94" i="1" a="1"/>
  <c r="G94" i="1"/>
  <c r="G95" i="1" a="1"/>
  <c r="G95" i="1" s="1"/>
  <c r="G96" i="1" a="1"/>
  <c r="G96" i="1"/>
  <c r="G97" i="1" a="1"/>
  <c r="G97" i="1" s="1"/>
  <c r="G98" i="1" a="1"/>
  <c r="G98" i="1" s="1"/>
  <c r="G99" i="1" a="1"/>
  <c r="G99" i="1" s="1"/>
  <c r="G100" i="1" a="1"/>
  <c r="G100" i="1"/>
  <c r="G101" i="1" a="1"/>
  <c r="G101" i="1" s="1"/>
  <c r="G102" i="1" a="1"/>
  <c r="G102" i="1" s="1"/>
  <c r="G103" i="1" a="1"/>
  <c r="G103" i="1" s="1"/>
  <c r="G104" i="1" a="1"/>
  <c r="G104" i="1" s="1"/>
  <c r="G105" i="1" a="1"/>
  <c r="G105" i="1" s="1"/>
  <c r="G106" i="1" a="1"/>
  <c r="G106" i="1" s="1"/>
  <c r="G107" i="1" a="1"/>
  <c r="G107" i="1" s="1"/>
  <c r="G108" i="1" a="1"/>
  <c r="G108" i="1"/>
  <c r="G109" i="1" a="1"/>
  <c r="G109" i="1" s="1"/>
  <c r="G110" i="1" a="1"/>
  <c r="G110" i="1"/>
  <c r="G111" i="1" a="1"/>
  <c r="G111" i="1" s="1"/>
  <c r="G112" i="1" a="1"/>
  <c r="G112" i="1"/>
  <c r="G113" i="1" a="1"/>
  <c r="G113" i="1" s="1"/>
  <c r="G2" i="1" a="1"/>
  <c r="G2" i="1"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B125" i="1" s="1"/>
  <c r="D3" i="1"/>
  <c r="E3" i="1" s="1"/>
  <c r="D4" i="1"/>
  <c r="E4" i="1" s="1"/>
  <c r="D5" i="1"/>
  <c r="E5" i="1" s="1"/>
  <c r="D6" i="1"/>
  <c r="E6" i="1" s="1"/>
  <c r="D7" i="1"/>
  <c r="E7" i="1" s="1"/>
  <c r="D8" i="1"/>
  <c r="E8" i="1" s="1"/>
  <c r="D9" i="1"/>
  <c r="E9" i="1" s="1"/>
  <c r="D10" i="1"/>
  <c r="E10" i="1" s="1"/>
  <c r="D11" i="1"/>
  <c r="E11" i="1" s="1"/>
  <c r="D12" i="1"/>
  <c r="E12" i="1" s="1"/>
  <c r="D13" i="1"/>
  <c r="E13" i="1" s="1"/>
  <c r="D14" i="1"/>
  <c r="E14" i="1" s="1"/>
  <c r="D15" i="1"/>
  <c r="E15" i="1" s="1"/>
  <c r="D16" i="1"/>
  <c r="E16" i="1" s="1"/>
  <c r="D17" i="1"/>
  <c r="E17" i="1" s="1"/>
  <c r="D18" i="1"/>
  <c r="E18" i="1" s="1"/>
  <c r="D19" i="1"/>
  <c r="E19" i="1" s="1"/>
  <c r="D20" i="1"/>
  <c r="E20" i="1" s="1"/>
  <c r="D21" i="1"/>
  <c r="E21" i="1" s="1"/>
  <c r="D22" i="1"/>
  <c r="E22" i="1" s="1"/>
  <c r="D23" i="1"/>
  <c r="E23" i="1" s="1"/>
  <c r="D24" i="1"/>
  <c r="E24" i="1" s="1"/>
  <c r="D25" i="1"/>
  <c r="E25" i="1" s="1"/>
  <c r="D26" i="1"/>
  <c r="E26" i="1" s="1"/>
  <c r="D27" i="1"/>
  <c r="E27" i="1" s="1"/>
  <c r="D28" i="1"/>
  <c r="E28" i="1" s="1"/>
  <c r="D29" i="1"/>
  <c r="E29" i="1" s="1"/>
  <c r="D30" i="1"/>
  <c r="E30" i="1" s="1"/>
  <c r="D31" i="1"/>
  <c r="E31" i="1" s="1"/>
  <c r="D32" i="1"/>
  <c r="E32" i="1" s="1"/>
  <c r="D33" i="1"/>
  <c r="E33" i="1" s="1"/>
  <c r="D34" i="1"/>
  <c r="E34" i="1" s="1"/>
  <c r="D35" i="1"/>
  <c r="E35" i="1" s="1"/>
  <c r="D36" i="1"/>
  <c r="E36" i="1" s="1"/>
  <c r="D37" i="1"/>
  <c r="E37" i="1" s="1"/>
  <c r="D38" i="1"/>
  <c r="E38" i="1" s="1"/>
  <c r="D39" i="1"/>
  <c r="E39" i="1" s="1"/>
  <c r="D40" i="1"/>
  <c r="E40" i="1" s="1"/>
  <c r="D41" i="1"/>
  <c r="E41" i="1" s="1"/>
  <c r="D42" i="1"/>
  <c r="E42" i="1" s="1"/>
  <c r="D43" i="1"/>
  <c r="E43" i="1" s="1"/>
  <c r="D44" i="1"/>
  <c r="E44" i="1" s="1"/>
  <c r="D45" i="1"/>
  <c r="E45" i="1" s="1"/>
  <c r="D46" i="1"/>
  <c r="E46" i="1" s="1"/>
  <c r="D47" i="1"/>
  <c r="E47" i="1" s="1"/>
  <c r="D48" i="1"/>
  <c r="E48" i="1" s="1"/>
  <c r="D49" i="1"/>
  <c r="E49" i="1" s="1"/>
  <c r="D50" i="1"/>
  <c r="E50" i="1" s="1"/>
  <c r="D51" i="1"/>
  <c r="E51" i="1" s="1"/>
  <c r="D52" i="1"/>
  <c r="E52" i="1" s="1"/>
  <c r="D53" i="1"/>
  <c r="E53" i="1" s="1"/>
  <c r="D54" i="1"/>
  <c r="E54" i="1" s="1"/>
  <c r="D55" i="1"/>
  <c r="E55" i="1" s="1"/>
  <c r="D56" i="1"/>
  <c r="E56" i="1" s="1"/>
  <c r="D57" i="1"/>
  <c r="E57" i="1" s="1"/>
  <c r="D58" i="1"/>
  <c r="E58" i="1" s="1"/>
  <c r="D59" i="1"/>
  <c r="E59" i="1" s="1"/>
  <c r="D60" i="1"/>
  <c r="E60" i="1" s="1"/>
  <c r="D61" i="1"/>
  <c r="E61" i="1" s="1"/>
  <c r="D62" i="1"/>
  <c r="E62" i="1" s="1"/>
  <c r="D63" i="1"/>
  <c r="E63" i="1" s="1"/>
  <c r="D64" i="1"/>
  <c r="E64" i="1" s="1"/>
  <c r="D65" i="1"/>
  <c r="E65" i="1" s="1"/>
  <c r="D66" i="1"/>
  <c r="E66" i="1" s="1"/>
  <c r="D67" i="1"/>
  <c r="E67" i="1" s="1"/>
  <c r="D68" i="1"/>
  <c r="E68" i="1" s="1"/>
  <c r="D69" i="1"/>
  <c r="E69" i="1" s="1"/>
  <c r="D70" i="1"/>
  <c r="E70" i="1" s="1"/>
  <c r="D71" i="1"/>
  <c r="E71" i="1" s="1"/>
  <c r="D72" i="1"/>
  <c r="E72" i="1" s="1"/>
  <c r="D73" i="1"/>
  <c r="E73" i="1" s="1"/>
  <c r="D74" i="1"/>
  <c r="E74" i="1" s="1"/>
  <c r="D75" i="1"/>
  <c r="E75" i="1" s="1"/>
  <c r="D76" i="1"/>
  <c r="E76" i="1" s="1"/>
  <c r="D77" i="1"/>
  <c r="E77" i="1" s="1"/>
  <c r="D78" i="1"/>
  <c r="E78" i="1" s="1"/>
  <c r="D79" i="1"/>
  <c r="E79" i="1" s="1"/>
  <c r="D80" i="1"/>
  <c r="E80" i="1" s="1"/>
  <c r="D81" i="1"/>
  <c r="E81" i="1" s="1"/>
  <c r="D82" i="1"/>
  <c r="E82" i="1" s="1"/>
  <c r="D83" i="1"/>
  <c r="E83" i="1" s="1"/>
  <c r="D84" i="1"/>
  <c r="E84" i="1" s="1"/>
  <c r="D85" i="1"/>
  <c r="E85" i="1" s="1"/>
  <c r="D86" i="1"/>
  <c r="E86" i="1" s="1"/>
  <c r="D87" i="1"/>
  <c r="E87" i="1" s="1"/>
  <c r="D88" i="1"/>
  <c r="E88" i="1" s="1"/>
  <c r="D89" i="1"/>
  <c r="E89"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2" i="1"/>
  <c r="E102"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D2" i="1"/>
  <c r="E2" i="1" s="1"/>
  <c r="B122" i="1" s="1"/>
  <c r="B123" i="1" l="1"/>
  <c r="B12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<sst xmlns="http://schemas.openxmlformats.org/spreadsheetml/2006/main" count="320" uniqueCount="188">
  <si>
    <t>Product</t>
  </si>
  <si>
    <t>Current price</t>
  </si>
  <si>
    <t>old price</t>
  </si>
  <si>
    <t>Discount</t>
  </si>
  <si>
    <t>Review</t>
  </si>
  <si>
    <t>115  Piece Set Of Multifunctional Precision Screwdrivers</t>
  </si>
  <si>
    <t>4.5 out of 5</t>
  </si>
  <si>
    <t>Metal Decorative Hooks Key Hangers Entryway Wall Hooks Towel Hooks - Home</t>
  </si>
  <si>
    <t>4.1 out of 5</t>
  </si>
  <si>
    <t>Portable Mini Cordless Car Vacuum Cleaner - Blue</t>
  </si>
  <si>
    <t>4.6 out of 5</t>
  </si>
  <si>
    <t>Weighing Scale Digital Bathroom Body Fat Scale USB-Black</t>
  </si>
  <si>
    <t>4.7 out of 5</t>
  </si>
  <si>
    <t>Portable Home Small Air Humidifier 3-Speed Fan - Green</t>
  </si>
  <si>
    <t>4.8 out of 5</t>
  </si>
  <si>
    <t>220V 60W Electric Soldering Iron Kits With Tools, Tips, And Multimeter</t>
  </si>
  <si>
    <t>4 out of 5</t>
  </si>
  <si>
    <t>137 Pieces Cake Decorating Tool Set Baking Supplies</t>
  </si>
  <si>
    <t>Desk Foldable Fan Adjustable Fan Strong Wind 3 Gear Usb</t>
  </si>
  <si>
    <t>LASA FOLDING TABLE SERVING STAND</t>
  </si>
  <si>
    <t>13 In 1 Home Repair Tools Box Kit Set</t>
  </si>
  <si>
    <t>3.8 out of 5</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</si>
  <si>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</si>
  <si>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</si>
  <si>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</si>
  <si>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</si>
  <si>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</si>
  <si>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4.2 out of 5</t>
  </si>
  <si>
    <t>Anti-Skid Absorbent Insulation Coaster  For Home Office</t>
  </si>
  <si>
    <t>5 out of 5</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</si>
  <si>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</si>
  <si>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</si>
  <si>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</si>
  <si>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</si>
  <si>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</si>
  <si>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3.3 out of 5</t>
  </si>
  <si>
    <t>4pcs Bathroom/Kitchen Towel Rack,Roll Paper Holder,Towel Bars,Hook</t>
  </si>
  <si>
    <t>LED Romantic Spaceship Starry Sky Projector,Children's Bedroom Night Light-Blue</t>
  </si>
  <si>
    <t>Foldable Overbed Table/Desk</t>
  </si>
  <si>
    <t>4.4 out of 5</t>
  </si>
  <si>
    <t>LASA 3 Tier Bamboo Shoe Bench Storage Shelf</t>
  </si>
  <si>
    <t>4.3 out of 5</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</si>
  <si>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</si>
  <si>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</si>
  <si>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</si>
  <si>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</si>
  <si>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</si>
  <si>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</si>
  <si>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</si>
  <si>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</si>
  <si>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</si>
  <si>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</si>
  <si>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</si>
  <si>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</si>
  <si>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</si>
  <si>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</si>
  <si>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</si>
  <si>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</si>
  <si>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</si>
  <si>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</si>
  <si>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</si>
  <si>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</si>
  <si>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</si>
  <si>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</si>
  <si>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</si>
  <si>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</si>
  <si>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</si>
  <si>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</si>
  <si>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</si>
  <si>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</si>
  <si>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</si>
  <si>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</si>
  <si>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</si>
  <si>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</si>
  <si>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</si>
  <si>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</si>
  <si>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2.5 out of 5</t>
  </si>
  <si>
    <t>Mythco 120COB Solar Wall Ligt With Motion Sensor And Remote Control 3 Modes</t>
  </si>
  <si>
    <t>3 out of 5</t>
  </si>
  <si>
    <t>5-PCS Stainless Steel Cooking Pot Set With Steamed Slices</t>
  </si>
  <si>
    <t>2.1 out of 5</t>
  </si>
  <si>
    <t>120W Cordless Vacuum Cleaners Handheld Electric Vacuum Cleaner</t>
  </si>
  <si>
    <t>2.8 out of 5</t>
  </si>
  <si>
    <t>Intelligent  LED Body Sensor Wireless Lighting Night Light USB</t>
  </si>
  <si>
    <t>2.7 out of 5</t>
  </si>
  <si>
    <t>VIC Wireless Vacuum Cleaner Dual Use For Home And Car 120W High Power Powerful</t>
  </si>
  <si>
    <t>2.9 out of 5</t>
  </si>
  <si>
    <t>Artificial Potted Flowers Room Decorative Flowers (2 Pieces)</t>
  </si>
  <si>
    <t>2.2 out of 5</t>
  </si>
  <si>
    <t>380ML USB Rechargeable Portable Small Blenders And Juicers</t>
  </si>
  <si>
    <t>2.3 out of 5</t>
  </si>
  <si>
    <t>32PCS Portable Cordless Drill Set With Cyclic Battery Drive -26 Variable Speed</t>
  </si>
  <si>
    <t>Agapeon Toothbrush Holder And Toothpaste Dispenser</t>
  </si>
  <si>
    <t>2.6 out of 5</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</si>
  <si>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</si>
  <si>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</si>
  <si>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</si>
  <si>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</si>
  <si>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</si>
  <si>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</si>
  <si>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</si>
  <si>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</si>
  <si>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</si>
  <si>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</si>
  <si>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</si>
  <si>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</si>
  <si>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</si>
  <si>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</si>
  <si>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</si>
  <si>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</si>
  <si>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</si>
  <si>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</si>
  <si>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</si>
  <si>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</si>
  <si>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</si>
  <si>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</si>
  <si>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</si>
  <si>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</si>
  <si>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</si>
  <si>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</si>
  <si>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</si>
  <si>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</si>
  <si>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</si>
  <si>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</si>
  <si>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</si>
  <si>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</si>
  <si>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</si>
  <si>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</si>
  <si>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</si>
  <si>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</si>
  <si>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</si>
  <si>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</si>
  <si>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</si>
  <si>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</si>
  <si>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2 out of 5</t>
  </si>
  <si>
    <t>Black Simple Water Cup Wine Coaster Anti Slip Absorbent</t>
  </si>
  <si>
    <t>Abs_dicount</t>
  </si>
  <si>
    <t>Abs_Disc(%)</t>
  </si>
  <si>
    <t>Abs_review</t>
  </si>
  <si>
    <t>Abs_rating</t>
  </si>
  <si>
    <t>Rating</t>
  </si>
  <si>
    <t>category Rating</t>
  </si>
  <si>
    <t>Discount_category</t>
  </si>
  <si>
    <t>AVERAGE CURRENT PRICE</t>
  </si>
  <si>
    <t>AVERAGE OLD PRICE</t>
  </si>
  <si>
    <t>AVERAGE DISCOUNT PERCENTAGE</t>
  </si>
  <si>
    <t>AVERAGE RATING</t>
  </si>
  <si>
    <t>AVERAGE DICOUNT</t>
  </si>
  <si>
    <t>AVERAGE REVIEWS</t>
  </si>
  <si>
    <t>HIGHEST PRODUCT PRICE</t>
  </si>
  <si>
    <t>HIGHEST PRODUCT BY PRICE</t>
  </si>
  <si>
    <t>LOWEST PRODUCT PRICE</t>
  </si>
  <si>
    <t>LOWEST PRODUCT BY PRICE</t>
  </si>
  <si>
    <t>Row Labels</t>
  </si>
  <si>
    <t>Grand Total</t>
  </si>
  <si>
    <t>ratings</t>
  </si>
  <si>
    <t>TOP 10 By Rating</t>
  </si>
  <si>
    <t>Discount Percentage</t>
  </si>
  <si>
    <t>TOP 10 PRODUCTS BY DISCOUNT %</t>
  </si>
  <si>
    <t>Ratings</t>
  </si>
  <si>
    <t>BOTTOM 10 PRODUCTS BY RATINGS</t>
  </si>
  <si>
    <t>BOTTOM 10 PRODUCTS BY DISCOUNT %</t>
  </si>
  <si>
    <t>discount%</t>
  </si>
  <si>
    <t>TOP 10 PRODUCTS BY REVIEWS</t>
  </si>
  <si>
    <t>BOTTOM 10 PRODUCTS BY REVIEWS</t>
  </si>
  <si>
    <t>Reviews</t>
  </si>
  <si>
    <t>HIGH_DISCOUNT</t>
  </si>
  <si>
    <t>LOW_DISCOUNT</t>
  </si>
  <si>
    <t>MEDIUM_DISCOUNT</t>
  </si>
  <si>
    <t>Average_reviews</t>
  </si>
  <si>
    <t>Averag_rating</t>
  </si>
  <si>
    <t>D</t>
  </si>
  <si>
    <t>(blank)</t>
  </si>
  <si>
    <t>Average Discount %</t>
  </si>
  <si>
    <t>PRODUCT COUNT</t>
  </si>
  <si>
    <t>REVIEWS COUNT</t>
  </si>
  <si>
    <t>RANKING</t>
  </si>
  <si>
    <t xml:space="preserve">Rating  </t>
  </si>
  <si>
    <t xml:space="preserve">Reviews </t>
  </si>
  <si>
    <t>PERFORMANCE SCORE</t>
  </si>
  <si>
    <t>PERFORMANCE SCORES</t>
  </si>
  <si>
    <t>ABS_RATINGS</t>
  </si>
  <si>
    <t>ABS_REVIEWS</t>
  </si>
  <si>
    <t>ABS_DISC%</t>
  </si>
  <si>
    <t>AVERAGE</t>
  </si>
  <si>
    <t>EXCELLENT</t>
  </si>
  <si>
    <t>POOR</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</si>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</sst>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rgb="FFFFC00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2F2F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9" fontId="0" fillId="0" borderId="0" xfId="0" applyNumberFormat="1"/>
    <xf numFmtId="0" fontId="18" fillId="33" borderId="0" xfId="0" applyFont="1" applyFill="1"/>
    <xf numFmtId="2" fontId="18" fillId="33" borderId="0" xfId="0" applyNumberFormat="1" applyFont="1" applyFill="1"/>
    <xf numFmtId="2" fontId="0" fillId="0" borderId="0" xfId="0" applyNumberFormat="1"/>
    <xf numFmtId="10" fontId="18" fillId="33" borderId="0" xfId="0" applyNumberFormat="1" applyFont="1" applyFill="1"/>
    <xf numFmtId="10" fontId="0" fillId="0" borderId="0" xfId="0" applyNumberFormat="1"/>
    <xf numFmtId="0" fontId="16" fillId="0" borderId="0" xfId="0" applyFont="1"/>
    <xf numFmtId="0" fontId="16" fillId="0" borderId="10" xfId="0" applyFon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  to Reviews 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scatterChart>
        <c:scatterStyle val="lineMarker"/>
        <c:varyColors val="0"/>
        <c:ser>
          <c:idx val="0"/>
          <c:order val="0"/>
          <c:tx>
            <c:strRef>
              <c:f>'Excel_jumia_dataset assignment '!$I$1</c:f>
              <c:strCache>
                <c:ptCount val="1"/>
                <c:pt idx="0">
                  <c:v>Abs_review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'Excel_jumia_dataset assignment '!$E$2:$E$129</c:f>
              <c:numCache>
                <c:formatCode>0.00%</c:formatCode>
                <c:ptCount val="128"/>
                <c:pt idx="0">
                  <c:v>0.37704918032786883</c:v>
                </c:pt>
                <c:pt idx="1">
                  <c:v>0.47247247247247248</c:v>
                </c:pt>
                <c:pt idx="2">
                  <c:v>0.24769072870338693</c:v>
                </c:pt>
                <c:pt idx="3">
                  <c:v>0.36774709883953582</c:v>
                </c:pt>
                <c:pt idx="4">
                  <c:v>0.26146010186757218</c:v>
                </c:pt>
                <c:pt idx="5">
                  <c:v>8.8449848024316116E-2</c:v>
                </c:pt>
                <c:pt idx="6">
                  <c:v>0.23515831134564644</c:v>
                </c:pt>
                <c:pt idx="7">
                  <c:v>0.37468354430379747</c:v>
                </c:pt>
                <c:pt idx="8">
                  <c:v>0.54500000000000004</c:v>
                </c:pt>
                <c:pt idx="9">
                  <c:v>0.45373847729600547</c:v>
                </c:pt>
                <c:pt idx="10">
                  <c:v>0.20020020020020021</c:v>
                </c:pt>
                <c:pt idx="11">
                  <c:v>0.34</c:v>
                </c:pt>
                <c:pt idx="12">
                  <c:v>0.46666666666666667</c:v>
                </c:pt>
                <c:pt idx="13">
                  <c:v>0.41744186046511628</c:v>
                </c:pt>
                <c:pt idx="14">
                  <c:v>0.32773109243697479</c:v>
                </c:pt>
                <c:pt idx="15">
                  <c:v>0.51461988304093564</c:v>
                </c:pt>
                <c:pt idx="16">
                  <c:v>0.45833333333333331</c:v>
                </c:pt>
                <c:pt idx="17">
                  <c:v>0.49005288340468395</c:v>
                </c:pt>
                <c:pt idx="18">
                  <c:v>0.18924033522573669</c:v>
                </c:pt>
                <c:pt idx="19">
                  <c:v>0.49237029501525942</c:v>
                </c:pt>
                <c:pt idx="20">
                  <c:v>0.52500000000000002</c:v>
                </c:pt>
                <c:pt idx="21">
                  <c:v>0.42236024844720499</c:v>
                </c:pt>
                <c:pt idx="22">
                  <c:v>0.34814814814814815</c:v>
                </c:pt>
                <c:pt idx="23">
                  <c:v>0.23255813953488372</c:v>
                </c:pt>
                <c:pt idx="24">
                  <c:v>0.54488888888888887</c:v>
                </c:pt>
                <c:pt idx="25">
                  <c:v>0.3508500772797527</c:v>
                </c:pt>
                <c:pt idx="26">
                  <c:v>0.18181818181818182</c:v>
                </c:pt>
                <c:pt idx="27">
                  <c:v>0.32160804020100503</c:v>
                </c:pt>
                <c:pt idx="28">
                  <c:v>0.2965186074429772</c:v>
                </c:pt>
                <c:pt idx="29">
                  <c:v>0.46078431372549017</c:v>
                </c:pt>
                <c:pt idx="30">
                  <c:v>0.51570680628272247</c:v>
                </c:pt>
                <c:pt idx="31">
                  <c:v>0.34228187919463088</c:v>
                </c:pt>
                <c:pt idx="32">
                  <c:v>0.47851002865329512</c:v>
                </c:pt>
                <c:pt idx="33">
                  <c:v>0.26792452830188679</c:v>
                </c:pt>
                <c:pt idx="34">
                  <c:v>0.26639496109670247</c:v>
                </c:pt>
                <c:pt idx="35">
                  <c:v>0.39776951672862454</c:v>
                </c:pt>
                <c:pt idx="36">
                  <c:v>0.52500000000000002</c:v>
                </c:pt>
                <c:pt idx="37">
                  <c:v>0.40701219512195119</c:v>
                </c:pt>
                <c:pt idx="38">
                  <c:v>0.33333333333333331</c:v>
                </c:pt>
                <c:pt idx="39">
                  <c:v>0.38492507269067322</c:v>
                </c:pt>
                <c:pt idx="40">
                  <c:v>0.48979591836734693</c:v>
                </c:pt>
                <c:pt idx="41">
                  <c:v>0.5</c:v>
                </c:pt>
                <c:pt idx="42">
                  <c:v>0.42452830188679247</c:v>
                </c:pt>
                <c:pt idx="43">
                  <c:v>1.705855232826187E-2</c:v>
                </c:pt>
                <c:pt idx="44">
                  <c:v>0.50049999999999994</c:v>
                </c:pt>
                <c:pt idx="45">
                  <c:v>0.33333333333333331</c:v>
                </c:pt>
                <c:pt idx="46">
                  <c:v>0.49012158054711247</c:v>
                </c:pt>
                <c:pt idx="47">
                  <c:v>0.38461538461538464</c:v>
                </c:pt>
                <c:pt idx="48">
                  <c:v>0.60515873015873012</c:v>
                </c:pt>
                <c:pt idx="49">
                  <c:v>0.50166666666666671</c:v>
                </c:pt>
                <c:pt idx="50">
                  <c:v>2.2954679223072396E-2</c:v>
                </c:pt>
                <c:pt idx="51">
                  <c:v>0.22135416666666666</c:v>
                </c:pt>
                <c:pt idx="52">
                  <c:v>2.6684456304202801E-2</c:v>
                </c:pt>
                <c:pt idx="53">
                  <c:v>0.4050632911392405</c:v>
                </c:pt>
                <c:pt idx="54">
                  <c:v>0.44555555555555554</c:v>
                </c:pt>
                <c:pt idx="55">
                  <c:v>0.47952345495160087</c:v>
                </c:pt>
                <c:pt idx="56">
                  <c:v>0.49010848755583919</c:v>
                </c:pt>
                <c:pt idx="57">
                  <c:v>0.26535433070866143</c:v>
                </c:pt>
                <c:pt idx="58">
                  <c:v>0.5546875</c:v>
                </c:pt>
                <c:pt idx="59">
                  <c:v>0.13200000000000001</c:v>
                </c:pt>
                <c:pt idx="60">
                  <c:v>0.53549695740365111</c:v>
                </c:pt>
                <c:pt idx="61">
                  <c:v>0.55000000000000004</c:v>
                </c:pt>
                <c:pt idx="62">
                  <c:v>0.49026345933562426</c:v>
                </c:pt>
                <c:pt idx="63">
                  <c:v>0.5220588235294118</c:v>
                </c:pt>
                <c:pt idx="64">
                  <c:v>0.21543408360128619</c:v>
                </c:pt>
                <c:pt idx="65">
                  <c:v>0.45424476295479604</c:v>
                </c:pt>
                <c:pt idx="66">
                  <c:v>0.5</c:v>
                </c:pt>
                <c:pt idx="67">
                  <c:v>0.38954908025394758</c:v>
                </c:pt>
                <c:pt idx="68">
                  <c:v>0.45428571428571429</c:v>
                </c:pt>
                <c:pt idx="69">
                  <c:v>0.29012345679012347</c:v>
                </c:pt>
                <c:pt idx="70">
                  <c:v>0.42691029900332228</c:v>
                </c:pt>
                <c:pt idx="71">
                  <c:v>0.43381535038932145</c:v>
                </c:pt>
                <c:pt idx="72">
                  <c:v>0.46637265711135611</c:v>
                </c:pt>
                <c:pt idx="73">
                  <c:v>0.4745649263721553</c:v>
                </c:pt>
                <c:pt idx="74">
                  <c:v>0.46801346801346799</c:v>
                </c:pt>
                <c:pt idx="75">
                  <c:v>0.42499999999999999</c:v>
                </c:pt>
                <c:pt idx="76">
                  <c:v>3.7242912729294052E-2</c:v>
                </c:pt>
                <c:pt idx="77">
                  <c:v>0.48888888888888887</c:v>
                </c:pt>
                <c:pt idx="78">
                  <c:v>0.45929968167348795</c:v>
                </c:pt>
                <c:pt idx="79">
                  <c:v>0.49010416666666667</c:v>
                </c:pt>
                <c:pt idx="80">
                  <c:v>0.36244541484716158</c:v>
                </c:pt>
                <c:pt idx="81">
                  <c:v>1.9423190111830489E-2</c:v>
                </c:pt>
                <c:pt idx="82">
                  <c:v>0.48995363214837712</c:v>
                </c:pt>
                <c:pt idx="83">
                  <c:v>0.48985507246376814</c:v>
                </c:pt>
                <c:pt idx="84">
                  <c:v>0.13713949381989404</c:v>
                </c:pt>
                <c:pt idx="85">
                  <c:v>0.48975791433891991</c:v>
                </c:pt>
                <c:pt idx="86">
                  <c:v>0.11222222222222222</c:v>
                </c:pt>
                <c:pt idx="87">
                  <c:v>0.48990683229813664</c:v>
                </c:pt>
                <c:pt idx="88">
                  <c:v>0.13596233078281342</c:v>
                </c:pt>
                <c:pt idx="89">
                  <c:v>0.42727272727272725</c:v>
                </c:pt>
                <c:pt idx="90">
                  <c:v>0.5</c:v>
                </c:pt>
                <c:pt idx="91">
                  <c:v>0.48</c:v>
                </c:pt>
                <c:pt idx="92">
                  <c:v>0.47499999999999998</c:v>
                </c:pt>
                <c:pt idx="93">
                  <c:v>0.47086521483225424</c:v>
                </c:pt>
                <c:pt idx="94">
                  <c:v>0.5</c:v>
                </c:pt>
                <c:pt idx="95">
                  <c:v>8.0722891566265054E-2</c:v>
                </c:pt>
                <c:pt idx="96">
                  <c:v>2.4683122081387593E-2</c:v>
                </c:pt>
                <c:pt idx="97">
                  <c:v>0.48971193415637859</c:v>
                </c:pt>
                <c:pt idx="98">
                  <c:v>4.1362530413625302E-2</c:v>
                </c:pt>
                <c:pt idx="99">
                  <c:v>0.48979591836734693</c:v>
                </c:pt>
                <c:pt idx="100">
                  <c:v>0.42369263607257202</c:v>
                </c:pt>
                <c:pt idx="101">
                  <c:v>0.20662598081952921</c:v>
                </c:pt>
                <c:pt idx="102">
                  <c:v>0.41322314049586778</c:v>
                </c:pt>
                <c:pt idx="103">
                  <c:v>1.2638230647709321E-2</c:v>
                </c:pt>
                <c:pt idx="104">
                  <c:v>0.23846153846153847</c:v>
                </c:pt>
                <c:pt idx="105">
                  <c:v>0.3379389752446747</c:v>
                </c:pt>
                <c:pt idx="106">
                  <c:v>0.34254143646408841</c:v>
                </c:pt>
                <c:pt idx="107">
                  <c:v>2.4131842260153032E-2</c:v>
                </c:pt>
                <c:pt idx="108">
                  <c:v>1.7231795441912175E-2</c:v>
                </c:pt>
                <c:pt idx="109">
                  <c:v>0.64014466546112114</c:v>
                </c:pt>
                <c:pt idx="110">
                  <c:v>0.5</c:v>
                </c:pt>
                <c:pt idx="111">
                  <c:v>0.47187499999999999</c:v>
                </c:pt>
              </c:numCache>
            </c:numRef>
          </c:xVal>
          <c:yVal>
            <c:numRef>
              <c:f>'Excel_jumia_dataset assignment '!$I$2:$I$129</c:f>
              <c:numCache>
                <c:formatCode>General</c:formatCode>
                <c:ptCount val="128"/>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7609-4CA5-9A79-A505F4247622}"/>
            </c:ext>
          </c:extLst>
        </c:ser>
        <c:dLbls>
          <c:showLegendKey val="0"/>
          <c:showVal val="0"/>
          <c:showCatName val="0"/>
          <c:showSerName val="0"/>
          <c:showPercent val="0"/>
          <c:showBubbleSize val="0"/>
        </c:dLbls>
        <c:axId val="1331355791"/>
        <c:axId val="1331354831"/>
      </c:scatterChart>
      <c:valAx>
        <c:axId val="13313557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31354831"/>
        <c:crosses val="autoZero"/>
        <c:crossBetween val="midCat"/>
      </c:valAx>
      <c:valAx>
        <c:axId val="133135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3135579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-Reviews Correlation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'Excel_jumia_dataset assignment '!$K$1</c:f>
              <c:strCache>
                <c:ptCount val="1"/>
                <c:pt idx="0">
                  <c:v>Abs_rating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'Excel_jumia_dataset assignment '!$I$2:$I$129</c:f>
              <c:strCache>
                <c:ptCount val="111"/>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strCache>
            </c:strRef>
          </c:xVal>
          <c:yVal>
            <c:numRef>
              <c:f>'Excel_jumia_dataset assignment '!$K$2:$K$129</c:f>
              <c:numCache>
                <c:formatCode>General</c:formatCode>
                <c:ptCount val="128"/>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0-FAC5-4516-9EA1-89132A563B8E}"/>
            </c:ext>
          </c:extLst>
        </c:ser>
        <c:dLbls>
          <c:showLegendKey val="0"/>
          <c:showVal val="0"/>
          <c:showCatName val="0"/>
          <c:showSerName val="0"/>
          <c:showPercent val="0"/>
          <c:showBubbleSize val="0"/>
        </c:dLbls>
        <c:axId val="1472951663"/>
        <c:axId val="1472942543"/>
      </c:scatterChart>
      <c:valAx>
        <c:axId val="14729516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72942543"/>
        <c:crosses val="autoZero"/>
        <c:crossBetween val="midCat"/>
      </c:valAx>
      <c:valAx>
        <c:axId val="147294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729516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 Pivot.xlsx]PIVOT!PivotTable2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PIVOT!$B$59</c:f>
              <c:strCache>
                <c:ptCount val="1"/>
                <c:pt idx="0">
                  <c:v>ABS_DISC%</c:v>
                </c:pt>
              </c:strCache>
            </c:strRef>
          </c:tx>
          <c:spPr>
            <a:solidFill>
              <a:schemeClr val="accent1"/>
            </a:solidFill>
            <a:ln>
              <a:noFill/>
            </a:ln>
            <a:effectLst/>
            <a:sp3d/>
          </c:spPr>
          <c:invertIfNegative val="0"/>
          <c:cat>
            <c:strRef>
              <c:f>PIVOT!$A$60:$A$70</c:f>
              <c:strCache>
                <c:ptCount val="10"/>
                <c:pt idx="0">
                  <c:v>Punch-free Great Load Bearing Bathroom Storage Rack Wall Shelf-White</c:v>
                </c:pt>
                <c:pt idx="1">
                  <c:v>Portable Mini Cordless Car Vacuum Cleaner - Blue</c:v>
                </c:pt>
                <c:pt idx="2">
                  <c:v>Electronic Digital Display Vernier Caliper</c:v>
                </c:pt>
                <c:pt idx="3">
                  <c:v>53Pcs/Set Yarn Knitting Crochet Hooks With Bag - Fortune Cat</c:v>
                </c:pt>
                <c:pt idx="4">
                  <c:v>53 Pieces/Set Yarn Knitting Crochet Hooks With Bag - Pansies</c:v>
                </c:pt>
                <c:pt idx="5">
                  <c:v>52 Pieces Cake Decorating Tool Set Gift Kit Baking Supplies</c:v>
                </c:pt>
                <c:pt idx="6">
                  <c:v>3D Waterproof EVA Plastic Shower Curtain 1.8*2Mtrs</c:v>
                </c:pt>
                <c:pt idx="7">
                  <c:v>137 Pieces Cake Decorating Tool Set Baking Supplies</c:v>
                </c:pt>
                <c:pt idx="8">
                  <c:v>120W Cordless Vacuum Cleaners Handheld Electric Vacuum Cleaner</c:v>
                </c:pt>
                <c:pt idx="9">
                  <c:v>100 Pcs Crochet Hook Tool Set Knitting Hook Set With Box</c:v>
                </c:pt>
              </c:strCache>
            </c:strRef>
          </c:cat>
          <c:val>
            <c:numRef>
              <c:f>PIVOT!$B$60:$B$70</c:f>
              <c:numCache>
                <c:formatCode>0.00%</c:formatCode>
                <c:ptCount val="10"/>
                <c:pt idx="0">
                  <c:v>0.40701219512195119</c:v>
                </c:pt>
                <c:pt idx="1">
                  <c:v>0.24769072870338693</c:v>
                </c:pt>
                <c:pt idx="2">
                  <c:v>0.3508500772797527</c:v>
                </c:pt>
                <c:pt idx="3">
                  <c:v>0.26792452830188679</c:v>
                </c:pt>
                <c:pt idx="4">
                  <c:v>0.26639496109670247</c:v>
                </c:pt>
                <c:pt idx="5">
                  <c:v>0.2965186074429772</c:v>
                </c:pt>
                <c:pt idx="6">
                  <c:v>0.49237029501525942</c:v>
                </c:pt>
                <c:pt idx="7">
                  <c:v>0.23515831134564644</c:v>
                </c:pt>
                <c:pt idx="8">
                  <c:v>0.49026345933562426</c:v>
                </c:pt>
                <c:pt idx="9">
                  <c:v>0.34</c:v>
                </c:pt>
              </c:numCache>
            </c:numRef>
          </c:val>
          <c:extLst>
            <c:ext xmlns:c16="http://schemas.microsoft.com/office/drawing/2014/chart" uri="{C3380CC4-5D6E-409C-BE32-E72D297353CC}">
              <c16:uniqueId val="{00000000-FCEE-4E5E-8E6F-2DCAB8B5CCEB}"/>
            </c:ext>
          </c:extLst>
        </c:ser>
        <c:ser>
          <c:idx val="1"/>
          <c:order val="1"/>
          <c:tx>
            <c:strRef>
              <c:f>PIVOT!$C$59</c:f>
              <c:strCache>
                <c:ptCount val="1"/>
                <c:pt idx="0">
                  <c:v>ABS_RATINGS</c:v>
                </c:pt>
              </c:strCache>
            </c:strRef>
          </c:tx>
          <c:spPr>
            <a:solidFill>
              <a:schemeClr val="accent2"/>
            </a:solidFill>
            <a:ln>
              <a:noFill/>
            </a:ln>
            <a:effectLst/>
            <a:sp3d/>
          </c:spPr>
          <c:invertIfNegative val="0"/>
          <c:cat>
            <c:strRef>
              <c:f>PIVOT!$A$60:$A$70</c:f>
              <c:strCache>
                <c:ptCount val="10"/>
                <c:pt idx="0">
                  <c:v>Punch-free Great Load Bearing Bathroom Storage Rack Wall Shelf-White</c:v>
                </c:pt>
                <c:pt idx="1">
                  <c:v>Portable Mini Cordless Car Vacuum Cleaner - Blue</c:v>
                </c:pt>
                <c:pt idx="2">
                  <c:v>Electronic Digital Display Vernier Caliper</c:v>
                </c:pt>
                <c:pt idx="3">
                  <c:v>53Pcs/Set Yarn Knitting Crochet Hooks With Bag - Fortune Cat</c:v>
                </c:pt>
                <c:pt idx="4">
                  <c:v>53 Pieces/Set Yarn Knitting Crochet Hooks With Bag - Pansies</c:v>
                </c:pt>
                <c:pt idx="5">
                  <c:v>52 Pieces Cake Decorating Tool Set Gift Kit Baking Supplies</c:v>
                </c:pt>
                <c:pt idx="6">
                  <c:v>3D Waterproof EVA Plastic Shower Curtain 1.8*2Mtrs</c:v>
                </c:pt>
                <c:pt idx="7">
                  <c:v>137 Pieces Cake Decorating Tool Set Baking Supplies</c:v>
                </c:pt>
                <c:pt idx="8">
                  <c:v>120W Cordless Vacuum Cleaners Handheld Electric Vacuum Cleaner</c:v>
                </c:pt>
                <c:pt idx="9">
                  <c:v>100 Pcs Crochet Hook Tool Set Knitting Hook Set With Box</c:v>
                </c:pt>
              </c:strCache>
            </c:strRef>
          </c:cat>
          <c:val>
            <c:numRef>
              <c:f>PIVOT!$C$60:$C$70</c:f>
              <c:numCache>
                <c:formatCode>General</c:formatCode>
                <c:ptCount val="10"/>
                <c:pt idx="0">
                  <c:v>4.3</c:v>
                </c:pt>
                <c:pt idx="1">
                  <c:v>4.5999999999999996</c:v>
                </c:pt>
                <c:pt idx="2">
                  <c:v>4.5999999999999996</c:v>
                </c:pt>
                <c:pt idx="3">
                  <c:v>4.7</c:v>
                </c:pt>
                <c:pt idx="4">
                  <c:v>4.5</c:v>
                </c:pt>
                <c:pt idx="5">
                  <c:v>4.0999999999999996</c:v>
                </c:pt>
                <c:pt idx="6">
                  <c:v>4.5999999999999996</c:v>
                </c:pt>
                <c:pt idx="7">
                  <c:v>4.5999999999999996</c:v>
                </c:pt>
                <c:pt idx="8">
                  <c:v>2.8</c:v>
                </c:pt>
                <c:pt idx="9">
                  <c:v>4.7</c:v>
                </c:pt>
              </c:numCache>
            </c:numRef>
          </c:val>
          <c:extLst>
            <c:ext xmlns:c16="http://schemas.microsoft.com/office/drawing/2014/chart" uri="{C3380CC4-5D6E-409C-BE32-E72D297353CC}">
              <c16:uniqueId val="{00000001-FCEE-4E5E-8E6F-2DCAB8B5CCEB}"/>
            </c:ext>
          </c:extLst>
        </c:ser>
        <c:ser>
          <c:idx val="2"/>
          <c:order val="2"/>
          <c:tx>
            <c:strRef>
              <c:f>PIVOT!$D$59</c:f>
              <c:strCache>
                <c:ptCount val="1"/>
                <c:pt idx="0">
                  <c:v>ABS_REVIEWS</c:v>
                </c:pt>
              </c:strCache>
            </c:strRef>
          </c:tx>
          <c:spPr>
            <a:solidFill>
              <a:schemeClr val="accent3"/>
            </a:solidFill>
            <a:ln>
              <a:noFill/>
            </a:ln>
            <a:effectLst/>
            <a:sp3d/>
          </c:spPr>
          <c:invertIfNegative val="0"/>
          <c:cat>
            <c:strRef>
              <c:f>PIVOT!$A$60:$A$70</c:f>
              <c:strCache>
                <c:ptCount val="10"/>
                <c:pt idx="0">
                  <c:v>Punch-free Great Load Bearing Bathroom Storage Rack Wall Shelf-White</c:v>
                </c:pt>
                <c:pt idx="1">
                  <c:v>Portable Mini Cordless Car Vacuum Cleaner - Blue</c:v>
                </c:pt>
                <c:pt idx="2">
                  <c:v>Electronic Digital Display Vernier Caliper</c:v>
                </c:pt>
                <c:pt idx="3">
                  <c:v>53Pcs/Set Yarn Knitting Crochet Hooks With Bag - Fortune Cat</c:v>
                </c:pt>
                <c:pt idx="4">
                  <c:v>53 Pieces/Set Yarn Knitting Crochet Hooks With Bag - Pansies</c:v>
                </c:pt>
                <c:pt idx="5">
                  <c:v>52 Pieces Cake Decorating Tool Set Gift Kit Baking Supplies</c:v>
                </c:pt>
                <c:pt idx="6">
                  <c:v>3D Waterproof EVA Plastic Shower Curtain 1.8*2Mtrs</c:v>
                </c:pt>
                <c:pt idx="7">
                  <c:v>137 Pieces Cake Decorating Tool Set Baking Supplies</c:v>
                </c:pt>
                <c:pt idx="8">
                  <c:v>120W Cordless Vacuum Cleaners Handheld Electric Vacuum Cleaner</c:v>
                </c:pt>
                <c:pt idx="9">
                  <c:v>100 Pcs Crochet Hook Tool Set Knitting Hook Set With Box</c:v>
                </c:pt>
              </c:strCache>
            </c:strRef>
          </c:cat>
          <c:val>
            <c:numRef>
              <c:f>PIVOT!$D$60:$D$70</c:f>
              <c:numCache>
                <c:formatCode>General</c:formatCode>
                <c:ptCount val="10"/>
                <c:pt idx="0">
                  <c:v>36</c:v>
                </c:pt>
                <c:pt idx="1">
                  <c:v>24</c:v>
                </c:pt>
                <c:pt idx="2">
                  <c:v>49</c:v>
                </c:pt>
                <c:pt idx="3">
                  <c:v>20</c:v>
                </c:pt>
                <c:pt idx="4">
                  <c:v>32</c:v>
                </c:pt>
                <c:pt idx="5">
                  <c:v>20</c:v>
                </c:pt>
                <c:pt idx="6">
                  <c:v>44</c:v>
                </c:pt>
                <c:pt idx="7">
                  <c:v>55</c:v>
                </c:pt>
                <c:pt idx="8">
                  <c:v>69</c:v>
                </c:pt>
                <c:pt idx="9">
                  <c:v>39</c:v>
                </c:pt>
              </c:numCache>
            </c:numRef>
          </c:val>
          <c:extLst>
            <c:ext xmlns:c16="http://schemas.microsoft.com/office/drawing/2014/chart" uri="{C3380CC4-5D6E-409C-BE32-E72D297353CC}">
              <c16:uniqueId val="{00000002-FCEE-4E5E-8E6F-2DCAB8B5CCEB}"/>
            </c:ext>
          </c:extLst>
        </c:ser>
        <c:ser>
          <c:idx val="3"/>
          <c:order val="3"/>
          <c:tx>
            <c:strRef>
              <c:f>PIVOT!$E$59</c:f>
              <c:strCache>
                <c:ptCount val="1"/>
                <c:pt idx="0">
                  <c:v>PERFORMANCE SCORES</c:v>
                </c:pt>
              </c:strCache>
            </c:strRef>
          </c:tx>
          <c:spPr>
            <a:solidFill>
              <a:schemeClr val="accent4"/>
            </a:solidFill>
            <a:ln>
              <a:noFill/>
            </a:ln>
            <a:effectLst/>
            <a:sp3d/>
          </c:spPr>
          <c:invertIfNegative val="0"/>
          <c:cat>
            <c:strRef>
              <c:f>PIVOT!$A$60:$A$70</c:f>
              <c:strCache>
                <c:ptCount val="10"/>
                <c:pt idx="0">
                  <c:v>Punch-free Great Load Bearing Bathroom Storage Rack Wall Shelf-White</c:v>
                </c:pt>
                <c:pt idx="1">
                  <c:v>Portable Mini Cordless Car Vacuum Cleaner - Blue</c:v>
                </c:pt>
                <c:pt idx="2">
                  <c:v>Electronic Digital Display Vernier Caliper</c:v>
                </c:pt>
                <c:pt idx="3">
                  <c:v>53Pcs/Set Yarn Knitting Crochet Hooks With Bag - Fortune Cat</c:v>
                </c:pt>
                <c:pt idx="4">
                  <c:v>53 Pieces/Set Yarn Knitting Crochet Hooks With Bag - Pansies</c:v>
                </c:pt>
                <c:pt idx="5">
                  <c:v>52 Pieces Cake Decorating Tool Set Gift Kit Baking Supplies</c:v>
                </c:pt>
                <c:pt idx="6">
                  <c:v>3D Waterproof EVA Plastic Shower Curtain 1.8*2Mtrs</c:v>
                </c:pt>
                <c:pt idx="7">
                  <c:v>137 Pieces Cake Decorating Tool Set Baking Supplies</c:v>
                </c:pt>
                <c:pt idx="8">
                  <c:v>120W Cordless Vacuum Cleaners Handheld Electric Vacuum Cleaner</c:v>
                </c:pt>
                <c:pt idx="9">
                  <c:v>100 Pcs Crochet Hook Tool Set Knitting Hook Set With Box</c:v>
                </c:pt>
              </c:strCache>
            </c:strRef>
          </c:cat>
          <c:val>
            <c:numRef>
              <c:f>PIVOT!$E$60:$E$70</c:f>
              <c:numCache>
                <c:formatCode>General</c:formatCode>
                <c:ptCount val="10"/>
                <c:pt idx="0">
                  <c:v>16.0075</c:v>
                </c:pt>
                <c:pt idx="1">
                  <c:v>11.272500000000001</c:v>
                </c:pt>
                <c:pt idx="2">
                  <c:v>21.297499999999999</c:v>
                </c:pt>
                <c:pt idx="3">
                  <c:v>9.7125000000000004</c:v>
                </c:pt>
                <c:pt idx="4">
                  <c:v>14.442500000000001</c:v>
                </c:pt>
                <c:pt idx="5">
                  <c:v>9.51</c:v>
                </c:pt>
                <c:pt idx="6">
                  <c:v>19.3325</c:v>
                </c:pt>
                <c:pt idx="7">
                  <c:v>23.669999999999998</c:v>
                </c:pt>
                <c:pt idx="8">
                  <c:v>28.702500000000001</c:v>
                </c:pt>
                <c:pt idx="9">
                  <c:v>17.330000000000002</c:v>
                </c:pt>
              </c:numCache>
            </c:numRef>
          </c:val>
          <c:extLst>
            <c:ext xmlns:c16="http://schemas.microsoft.com/office/drawing/2014/chart" uri="{C3380CC4-5D6E-409C-BE32-E72D297353CC}">
              <c16:uniqueId val="{00000003-FCEE-4E5E-8E6F-2DCAB8B5CCEB}"/>
            </c:ext>
          </c:extLst>
        </c:ser>
        <c:dLbls>
          <c:showLegendKey val="0"/>
          <c:showVal val="0"/>
          <c:showCatName val="0"/>
          <c:showSerName val="0"/>
          <c:showPercent val="0"/>
          <c:showBubbleSize val="0"/>
        </c:dLbls>
        <c:gapWidth val="150"/>
        <c:shape val="box"/>
        <c:axId val="324391744"/>
        <c:axId val="324400384"/>
        <c:axId val="0"/>
      </c:bar3DChart>
      <c:catAx>
        <c:axId val="32439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24400384"/>
        <c:crosses val="autoZero"/>
        <c:auto val="1"/>
        <c:lblAlgn val="ctr"/>
        <c:lblOffset val="100"/>
        <c:noMultiLvlLbl val="0"/>
      </c:catAx>
      <c:valAx>
        <c:axId val="32440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2439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 Pivot.xlsx]PIVOT!PivotTable3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PIVOT!$M$43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69-4BAC-B128-C1367D48AC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69-4BAC-B128-C1367D48AC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69-4BAC-B128-C1367D48AC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69-4BAC-B128-C1367D48ACB8}"/>
              </c:ext>
            </c:extLst>
          </c:dPt>
          <c:cat>
            <c:strRef>
              <c:f>PIVOT!$L$44:$L$48</c:f>
              <c:strCache>
                <c:ptCount val="4"/>
                <c:pt idx="0">
                  <c:v>HIGH_DISCOUNT</c:v>
                </c:pt>
                <c:pt idx="1">
                  <c:v>LOW_DISCOUNT</c:v>
                </c:pt>
                <c:pt idx="2">
                  <c:v>MEDIUM_DISCOUNT</c:v>
                </c:pt>
                <c:pt idx="3">
                  <c:v>(blank)</c:v>
                </c:pt>
              </c:strCache>
            </c:strRef>
          </c:cat>
          <c:val>
            <c:numRef>
              <c:f>PIVOT!$M$44:$M$48</c:f>
              <c:numCache>
                <c:formatCode>General</c:formatCode>
                <c:ptCount val="4"/>
                <c:pt idx="0">
                  <c:v>60</c:v>
                </c:pt>
                <c:pt idx="1">
                  <c:v>18</c:v>
                </c:pt>
                <c:pt idx="2">
                  <c:v>31</c:v>
                </c:pt>
                <c:pt idx="3">
                  <c:v>12</c:v>
                </c:pt>
              </c:numCache>
            </c:numRef>
          </c:val>
          <c:extLst>
            <c:ext xmlns:c16="http://schemas.microsoft.com/office/drawing/2014/chart" uri="{C3380CC4-5D6E-409C-BE32-E72D297353CC}">
              <c16:uniqueId val="{00000000-FCFD-4A1C-8E07-8BCC2C15E3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 Pivot.xlsx]PIVOT!PivotTable4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PIVOT!$M$53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PIVOT!$L$54:$L$58</c:f>
              <c:strCache>
                <c:ptCount val="4"/>
                <c:pt idx="0">
                  <c:v>(blank)</c:v>
                </c:pt>
                <c:pt idx="1">
                  <c:v>POOR</c:v>
                </c:pt>
                <c:pt idx="2">
                  <c:v>EXCELLENT</c:v>
                </c:pt>
                <c:pt idx="3">
                  <c:v>AVERAGE</c:v>
                </c:pt>
              </c:strCache>
            </c:strRef>
          </c:cat>
          <c:val>
            <c:numRef>
              <c:f>PIVOT!$M$54:$M$58</c:f>
              <c:numCache>
                <c:formatCode>General</c:formatCode>
                <c:ptCount val="4"/>
                <c:pt idx="0">
                  <c:v>12</c:v>
                </c:pt>
                <c:pt idx="1">
                  <c:v>12</c:v>
                </c:pt>
                <c:pt idx="2">
                  <c:v>75</c:v>
                </c:pt>
                <c:pt idx="3">
                  <c:v>22</c:v>
                </c:pt>
              </c:numCache>
            </c:numRef>
          </c:val>
          <c:extLst>
            <c:ext xmlns:c16="http://schemas.microsoft.com/office/drawing/2014/chart" uri="{C3380CC4-5D6E-409C-BE32-E72D297353CC}">
              <c16:uniqueId val="{00000000-1CB7-4B44-8A41-57448DCF8470}"/>
            </c:ext>
          </c:extLst>
        </c:ser>
        <c:dLbls>
          <c:dLblPos val="outEnd"/>
          <c:showLegendKey val="0"/>
          <c:showVal val="1"/>
          <c:showCatName val="0"/>
          <c:showSerName val="0"/>
          <c:showPercent val="0"/>
          <c:showBubbleSize val="0"/>
        </c:dLbls>
        <c:gapWidth val="150"/>
        <c:axId val="169162624"/>
        <c:axId val="169167424"/>
      </c:barChart>
      <c:valAx>
        <c:axId val="16916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9162624"/>
        <c:crosses val="autoZero"/>
        <c:crossBetween val="between"/>
      </c:valAx>
      <c:catAx>
        <c:axId val="169162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91674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 Pivot.xlsx]PIVOT!PivotTable4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RANKING</a:t>
            </a:r>
            <a:r>
              <a:rPr lang="en-US" baseline="0"/>
              <a:t>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PIVOT!$M$53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PIVOT!$L$54:$L$58</c:f>
              <c:strCache>
                <c:ptCount val="4"/>
                <c:pt idx="0">
                  <c:v>(blank)</c:v>
                </c:pt>
                <c:pt idx="1">
                  <c:v>POOR</c:v>
                </c:pt>
                <c:pt idx="2">
                  <c:v>EXCELLENT</c:v>
                </c:pt>
                <c:pt idx="3">
                  <c:v>AVERAGE</c:v>
                </c:pt>
              </c:strCache>
            </c:strRef>
          </c:cat>
          <c:val>
            <c:numRef>
              <c:f>PIVOT!$M$54:$M$58</c:f>
              <c:numCache>
                <c:formatCode>General</c:formatCode>
                <c:ptCount val="4"/>
                <c:pt idx="0">
                  <c:v>12</c:v>
                </c:pt>
                <c:pt idx="1">
                  <c:v>12</c:v>
                </c:pt>
                <c:pt idx="2">
                  <c:v>75</c:v>
                </c:pt>
                <c:pt idx="3">
                  <c:v>22</c:v>
                </c:pt>
              </c:numCache>
            </c:numRef>
          </c:val>
          <c:extLst>
            <c:ext xmlns:c16="http://schemas.microsoft.com/office/drawing/2014/chart" uri="{C3380CC4-5D6E-409C-BE32-E72D297353CC}">
              <c16:uniqueId val="{00000000-32AB-4094-9FC1-C9A0EC437A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 + Pivot.xlsx]PIVOT!PivotTable2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10 PRODUCT PERFORMANCE</a:t>
            </a:r>
            <a:endParaRPr lang="en-US">
              <a:solidFill>
                <a:schemeClr val="tx1"/>
              </a:solidFill>
            </a:endParaRPr>
          </a:p>
        </c:rich>
      </c:tx>
      <c:layout>
        <c:manualLayout>
          <c:xMode val="edge"/>
          <c:yMode val="edge"/>
          <c:x val="0.20549476418540466"/>
          <c:y val="0.1020971975277284"/>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PIVOT!$B$59</c:f>
              <c:strCache>
                <c:ptCount val="1"/>
                <c:pt idx="0">
                  <c:v>ABS_DISC%</c:v>
                </c:pt>
              </c:strCache>
            </c:strRef>
          </c:tx>
          <c:spPr>
            <a:solidFill>
              <a:schemeClr val="accent1">
                <a:shade val="58000"/>
              </a:schemeClr>
            </a:solidFill>
            <a:ln>
              <a:noFill/>
            </a:ln>
            <a:effectLst/>
          </c:spPr>
          <c:invertIfNegative val="0"/>
          <c:cat>
            <c:strRef>
              <c:f>PIVOT!$A$60:$A$70</c:f>
              <c:strCache>
                <c:ptCount val="10"/>
                <c:pt idx="0">
                  <c:v>Punch-free Great Load Bearing Bathroom Storage Rack Wall Shelf-White</c:v>
                </c:pt>
                <c:pt idx="1">
                  <c:v>Portable Mini Cordless Car Vacuum Cleaner - Blue</c:v>
                </c:pt>
                <c:pt idx="2">
                  <c:v>Electronic Digital Display Vernier Caliper</c:v>
                </c:pt>
                <c:pt idx="3">
                  <c:v>53Pcs/Set Yarn Knitting Crochet Hooks With Bag - Fortune Cat</c:v>
                </c:pt>
                <c:pt idx="4">
                  <c:v>53 Pieces/Set Yarn Knitting Crochet Hooks With Bag - Pansies</c:v>
                </c:pt>
                <c:pt idx="5">
                  <c:v>52 Pieces Cake Decorating Tool Set Gift Kit Baking Supplies</c:v>
                </c:pt>
                <c:pt idx="6">
                  <c:v>3D Waterproof EVA Plastic Shower Curtain 1.8*2Mtrs</c:v>
                </c:pt>
                <c:pt idx="7">
                  <c:v>137 Pieces Cake Decorating Tool Set Baking Supplies</c:v>
                </c:pt>
                <c:pt idx="8">
                  <c:v>120W Cordless Vacuum Cleaners Handheld Electric Vacuum Cleaner</c:v>
                </c:pt>
                <c:pt idx="9">
                  <c:v>100 Pcs Crochet Hook Tool Set Knitting Hook Set With Box</c:v>
                </c:pt>
              </c:strCache>
            </c:strRef>
          </c:cat>
          <c:val>
            <c:numRef>
              <c:f>PIVOT!$B$60:$B$70</c:f>
              <c:numCache>
                <c:formatCode>0.00%</c:formatCode>
                <c:ptCount val="10"/>
                <c:pt idx="0">
                  <c:v>0.40701219512195119</c:v>
                </c:pt>
                <c:pt idx="1">
                  <c:v>0.24769072870338693</c:v>
                </c:pt>
                <c:pt idx="2">
                  <c:v>0.3508500772797527</c:v>
                </c:pt>
                <c:pt idx="3">
                  <c:v>0.26792452830188679</c:v>
                </c:pt>
                <c:pt idx="4">
                  <c:v>0.26639496109670247</c:v>
                </c:pt>
                <c:pt idx="5">
                  <c:v>0.2965186074429772</c:v>
                </c:pt>
                <c:pt idx="6">
                  <c:v>0.49237029501525942</c:v>
                </c:pt>
                <c:pt idx="7">
                  <c:v>0.23515831134564644</c:v>
                </c:pt>
                <c:pt idx="8">
                  <c:v>0.49026345933562426</c:v>
                </c:pt>
                <c:pt idx="9">
                  <c:v>0.34</c:v>
                </c:pt>
              </c:numCache>
            </c:numRef>
          </c:val>
          <c:extLst>
            <c:ext xmlns:c16="http://schemas.microsoft.com/office/drawing/2014/chart" uri="{C3380CC4-5D6E-409C-BE32-E72D297353CC}">
              <c16:uniqueId val="{00000000-74D2-49A1-A140-198B79ADAF25}"/>
            </c:ext>
          </c:extLst>
        </c:ser>
        <c:ser>
          <c:idx val="1"/>
          <c:order val="1"/>
          <c:tx>
            <c:strRef>
              <c:f>PIVOT!$C$59</c:f>
              <c:strCache>
                <c:ptCount val="1"/>
                <c:pt idx="0">
                  <c:v>ABS_RATINGS</c:v>
                </c:pt>
              </c:strCache>
            </c:strRef>
          </c:tx>
          <c:spPr>
            <a:solidFill>
              <a:schemeClr val="accent1">
                <a:shade val="86000"/>
              </a:schemeClr>
            </a:solidFill>
            <a:ln>
              <a:noFill/>
            </a:ln>
            <a:effectLst/>
          </c:spPr>
          <c:invertIfNegative val="0"/>
          <c:cat>
            <c:strRef>
              <c:f>PIVOT!$A$60:$A$70</c:f>
              <c:strCache>
                <c:ptCount val="10"/>
                <c:pt idx="0">
                  <c:v>Punch-free Great Load Bearing Bathroom Storage Rack Wall Shelf-White</c:v>
                </c:pt>
                <c:pt idx="1">
                  <c:v>Portable Mini Cordless Car Vacuum Cleaner - Blue</c:v>
                </c:pt>
                <c:pt idx="2">
                  <c:v>Electronic Digital Display Vernier Caliper</c:v>
                </c:pt>
                <c:pt idx="3">
                  <c:v>53Pcs/Set Yarn Knitting Crochet Hooks With Bag - Fortune Cat</c:v>
                </c:pt>
                <c:pt idx="4">
                  <c:v>53 Pieces/Set Yarn Knitting Crochet Hooks With Bag - Pansies</c:v>
                </c:pt>
                <c:pt idx="5">
                  <c:v>52 Pieces Cake Decorating Tool Set Gift Kit Baking Supplies</c:v>
                </c:pt>
                <c:pt idx="6">
                  <c:v>3D Waterproof EVA Plastic Shower Curtain 1.8*2Mtrs</c:v>
                </c:pt>
                <c:pt idx="7">
                  <c:v>137 Pieces Cake Decorating Tool Set Baking Supplies</c:v>
                </c:pt>
                <c:pt idx="8">
                  <c:v>120W Cordless Vacuum Cleaners Handheld Electric Vacuum Cleaner</c:v>
                </c:pt>
                <c:pt idx="9">
                  <c:v>100 Pcs Crochet Hook Tool Set Knitting Hook Set With Box</c:v>
                </c:pt>
              </c:strCache>
            </c:strRef>
          </c:cat>
          <c:val>
            <c:numRef>
              <c:f>PIVOT!$C$60:$C$70</c:f>
              <c:numCache>
                <c:formatCode>General</c:formatCode>
                <c:ptCount val="10"/>
                <c:pt idx="0">
                  <c:v>4.3</c:v>
                </c:pt>
                <c:pt idx="1">
                  <c:v>4.5999999999999996</c:v>
                </c:pt>
                <c:pt idx="2">
                  <c:v>4.5999999999999996</c:v>
                </c:pt>
                <c:pt idx="3">
                  <c:v>4.7</c:v>
                </c:pt>
                <c:pt idx="4">
                  <c:v>4.5</c:v>
                </c:pt>
                <c:pt idx="5">
                  <c:v>4.0999999999999996</c:v>
                </c:pt>
                <c:pt idx="6">
                  <c:v>4.5999999999999996</c:v>
                </c:pt>
                <c:pt idx="7">
                  <c:v>4.5999999999999996</c:v>
                </c:pt>
                <c:pt idx="8">
                  <c:v>2.8</c:v>
                </c:pt>
                <c:pt idx="9">
                  <c:v>4.7</c:v>
                </c:pt>
              </c:numCache>
            </c:numRef>
          </c:val>
          <c:extLst>
            <c:ext xmlns:c16="http://schemas.microsoft.com/office/drawing/2014/chart" uri="{C3380CC4-5D6E-409C-BE32-E72D297353CC}">
              <c16:uniqueId val="{00000001-74D2-49A1-A140-198B79ADAF25}"/>
            </c:ext>
          </c:extLst>
        </c:ser>
        <c:ser>
          <c:idx val="2"/>
          <c:order val="2"/>
          <c:tx>
            <c:strRef>
              <c:f>PIVOT!$D$59</c:f>
              <c:strCache>
                <c:ptCount val="1"/>
                <c:pt idx="0">
                  <c:v>ABS_REVIEWS</c:v>
                </c:pt>
              </c:strCache>
            </c:strRef>
          </c:tx>
          <c:spPr>
            <a:solidFill>
              <a:schemeClr val="accent1">
                <a:tint val="86000"/>
              </a:schemeClr>
            </a:solidFill>
            <a:ln>
              <a:noFill/>
            </a:ln>
            <a:effectLst/>
          </c:spPr>
          <c:invertIfNegative val="0"/>
          <c:cat>
            <c:strRef>
              <c:f>PIVOT!$A$60:$A$70</c:f>
              <c:strCache>
                <c:ptCount val="10"/>
                <c:pt idx="0">
                  <c:v>Punch-free Great Load Bearing Bathroom Storage Rack Wall Shelf-White</c:v>
                </c:pt>
                <c:pt idx="1">
                  <c:v>Portable Mini Cordless Car Vacuum Cleaner - Blue</c:v>
                </c:pt>
                <c:pt idx="2">
                  <c:v>Electronic Digital Display Vernier Caliper</c:v>
                </c:pt>
                <c:pt idx="3">
                  <c:v>53Pcs/Set Yarn Knitting Crochet Hooks With Bag - Fortune Cat</c:v>
                </c:pt>
                <c:pt idx="4">
                  <c:v>53 Pieces/Set Yarn Knitting Crochet Hooks With Bag - Pansies</c:v>
                </c:pt>
                <c:pt idx="5">
                  <c:v>52 Pieces Cake Decorating Tool Set Gift Kit Baking Supplies</c:v>
                </c:pt>
                <c:pt idx="6">
                  <c:v>3D Waterproof EVA Plastic Shower Curtain 1.8*2Mtrs</c:v>
                </c:pt>
                <c:pt idx="7">
                  <c:v>137 Pieces Cake Decorating Tool Set Baking Supplies</c:v>
                </c:pt>
                <c:pt idx="8">
                  <c:v>120W Cordless Vacuum Cleaners Handheld Electric Vacuum Cleaner</c:v>
                </c:pt>
                <c:pt idx="9">
                  <c:v>100 Pcs Crochet Hook Tool Set Knitting Hook Set With Box</c:v>
                </c:pt>
              </c:strCache>
            </c:strRef>
          </c:cat>
          <c:val>
            <c:numRef>
              <c:f>PIVOT!$D$60:$D$70</c:f>
              <c:numCache>
                <c:formatCode>General</c:formatCode>
                <c:ptCount val="10"/>
                <c:pt idx="0">
                  <c:v>36</c:v>
                </c:pt>
                <c:pt idx="1">
                  <c:v>24</c:v>
                </c:pt>
                <c:pt idx="2">
                  <c:v>49</c:v>
                </c:pt>
                <c:pt idx="3">
                  <c:v>20</c:v>
                </c:pt>
                <c:pt idx="4">
                  <c:v>32</c:v>
                </c:pt>
                <c:pt idx="5">
                  <c:v>20</c:v>
                </c:pt>
                <c:pt idx="6">
                  <c:v>44</c:v>
                </c:pt>
                <c:pt idx="7">
                  <c:v>55</c:v>
                </c:pt>
                <c:pt idx="8">
                  <c:v>69</c:v>
                </c:pt>
                <c:pt idx="9">
                  <c:v>39</c:v>
                </c:pt>
              </c:numCache>
            </c:numRef>
          </c:val>
          <c:extLst>
            <c:ext xmlns:c16="http://schemas.microsoft.com/office/drawing/2014/chart" uri="{C3380CC4-5D6E-409C-BE32-E72D297353CC}">
              <c16:uniqueId val="{00000002-74D2-49A1-A140-198B79ADAF25}"/>
            </c:ext>
          </c:extLst>
        </c:ser>
        <c:ser>
          <c:idx val="3"/>
          <c:order val="3"/>
          <c:tx>
            <c:strRef>
              <c:f>PIVOT!$E$59</c:f>
              <c:strCache>
                <c:ptCount val="1"/>
                <c:pt idx="0">
                  <c:v>PERFORMANCE SCORES</c:v>
                </c:pt>
              </c:strCache>
            </c:strRef>
          </c:tx>
          <c:spPr>
            <a:solidFill>
              <a:schemeClr val="accent1">
                <a:tint val="58000"/>
              </a:schemeClr>
            </a:solidFill>
            <a:ln>
              <a:noFill/>
            </a:ln>
            <a:effectLst/>
          </c:spPr>
          <c:invertIfNegative val="0"/>
          <c:cat>
            <c:strRef>
              <c:f>PIVOT!$A$60:$A$70</c:f>
              <c:strCache>
                <c:ptCount val="10"/>
                <c:pt idx="0">
                  <c:v>Punch-free Great Load Bearing Bathroom Storage Rack Wall Shelf-White</c:v>
                </c:pt>
                <c:pt idx="1">
                  <c:v>Portable Mini Cordless Car Vacuum Cleaner - Blue</c:v>
                </c:pt>
                <c:pt idx="2">
                  <c:v>Electronic Digital Display Vernier Caliper</c:v>
                </c:pt>
                <c:pt idx="3">
                  <c:v>53Pcs/Set Yarn Knitting Crochet Hooks With Bag - Fortune Cat</c:v>
                </c:pt>
                <c:pt idx="4">
                  <c:v>53 Pieces/Set Yarn Knitting Crochet Hooks With Bag - Pansies</c:v>
                </c:pt>
                <c:pt idx="5">
                  <c:v>52 Pieces Cake Decorating Tool Set Gift Kit Baking Supplies</c:v>
                </c:pt>
                <c:pt idx="6">
                  <c:v>3D Waterproof EVA Plastic Shower Curtain 1.8*2Mtrs</c:v>
                </c:pt>
                <c:pt idx="7">
                  <c:v>137 Pieces Cake Decorating Tool Set Baking Supplies</c:v>
                </c:pt>
                <c:pt idx="8">
                  <c:v>120W Cordless Vacuum Cleaners Handheld Electric Vacuum Cleaner</c:v>
                </c:pt>
                <c:pt idx="9">
                  <c:v>100 Pcs Crochet Hook Tool Set Knitting Hook Set With Box</c:v>
                </c:pt>
              </c:strCache>
            </c:strRef>
          </c:cat>
          <c:val>
            <c:numRef>
              <c:f>PIVOT!$E$60:$E$70</c:f>
              <c:numCache>
                <c:formatCode>General</c:formatCode>
                <c:ptCount val="10"/>
                <c:pt idx="0">
                  <c:v>16.0075</c:v>
                </c:pt>
                <c:pt idx="1">
                  <c:v>11.272500000000001</c:v>
                </c:pt>
                <c:pt idx="2">
                  <c:v>21.297499999999999</c:v>
                </c:pt>
                <c:pt idx="3">
                  <c:v>9.7125000000000004</c:v>
                </c:pt>
                <c:pt idx="4">
                  <c:v>14.442500000000001</c:v>
                </c:pt>
                <c:pt idx="5">
                  <c:v>9.51</c:v>
                </c:pt>
                <c:pt idx="6">
                  <c:v>19.3325</c:v>
                </c:pt>
                <c:pt idx="7">
                  <c:v>23.669999999999998</c:v>
                </c:pt>
                <c:pt idx="8">
                  <c:v>28.702500000000001</c:v>
                </c:pt>
                <c:pt idx="9">
                  <c:v>17.330000000000002</c:v>
                </c:pt>
              </c:numCache>
            </c:numRef>
          </c:val>
          <c:extLst>
            <c:ext xmlns:c16="http://schemas.microsoft.com/office/drawing/2014/chart" uri="{C3380CC4-5D6E-409C-BE32-E72D297353CC}">
              <c16:uniqueId val="{00000003-74D2-49A1-A140-198B79ADAF25}"/>
            </c:ext>
          </c:extLst>
        </c:ser>
        <c:dLbls>
          <c:showLegendKey val="0"/>
          <c:showVal val="0"/>
          <c:showCatName val="0"/>
          <c:showSerName val="0"/>
          <c:showPercent val="0"/>
          <c:showBubbleSize val="0"/>
        </c:dLbls>
        <c:gapWidth val="150"/>
        <c:axId val="324391744"/>
        <c:axId val="324400384"/>
      </c:barChart>
      <c:catAx>
        <c:axId val="324391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24400384"/>
        <c:crosses val="autoZero"/>
        <c:auto val="1"/>
        <c:lblAlgn val="ctr"/>
        <c:lblOffset val="100"/>
        <c:noMultiLvlLbl val="0"/>
      </c:catAx>
      <c:valAx>
        <c:axId val="32440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2439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Discount</a:t>
            </a:r>
            <a:r>
              <a:rPr lang="en-US" baseline="0">
                <a:solidFill>
                  <a:schemeClr val="tx1"/>
                </a:solidFill>
              </a:rPr>
              <a:t> %  to Reviews 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KE"/>
        </a:p>
      </c:txPr>
    </c:title>
    <c:autoTitleDeleted val="0"/>
    <c:plotArea>
      <c:layout/>
      <c:scatterChart>
        <c:scatterStyle val="lineMarker"/>
        <c:varyColors val="0"/>
        <c:ser>
          <c:idx val="0"/>
          <c:order val="0"/>
          <c:tx>
            <c:strRef>
              <c:f>'Excel_jumia_dataset assignment '!$I$1</c:f>
              <c:strCache>
                <c:ptCount val="1"/>
                <c:pt idx="0">
                  <c:v>Abs_review</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'Excel_jumia_dataset assignment '!$E$2:$E$129</c:f>
              <c:numCache>
                <c:formatCode>0.00%</c:formatCode>
                <c:ptCount val="128"/>
                <c:pt idx="0">
                  <c:v>0.37704918032786883</c:v>
                </c:pt>
                <c:pt idx="1">
                  <c:v>0.47247247247247248</c:v>
                </c:pt>
                <c:pt idx="2">
                  <c:v>0.24769072870338693</c:v>
                </c:pt>
                <c:pt idx="3">
                  <c:v>0.36774709883953582</c:v>
                </c:pt>
                <c:pt idx="4">
                  <c:v>0.26146010186757218</c:v>
                </c:pt>
                <c:pt idx="5">
                  <c:v>8.8449848024316116E-2</c:v>
                </c:pt>
                <c:pt idx="6">
                  <c:v>0.23515831134564644</c:v>
                </c:pt>
                <c:pt idx="7">
                  <c:v>0.37468354430379747</c:v>
                </c:pt>
                <c:pt idx="8">
                  <c:v>0.54500000000000004</c:v>
                </c:pt>
                <c:pt idx="9">
                  <c:v>0.45373847729600547</c:v>
                </c:pt>
                <c:pt idx="10">
                  <c:v>0.20020020020020021</c:v>
                </c:pt>
                <c:pt idx="11">
                  <c:v>0.34</c:v>
                </c:pt>
                <c:pt idx="12">
                  <c:v>0.46666666666666667</c:v>
                </c:pt>
                <c:pt idx="13">
                  <c:v>0.41744186046511628</c:v>
                </c:pt>
                <c:pt idx="14">
                  <c:v>0.32773109243697479</c:v>
                </c:pt>
                <c:pt idx="15">
                  <c:v>0.51461988304093564</c:v>
                </c:pt>
                <c:pt idx="16">
                  <c:v>0.45833333333333331</c:v>
                </c:pt>
                <c:pt idx="17">
                  <c:v>0.49005288340468395</c:v>
                </c:pt>
                <c:pt idx="18">
                  <c:v>0.18924033522573669</c:v>
                </c:pt>
                <c:pt idx="19">
                  <c:v>0.49237029501525942</c:v>
                </c:pt>
                <c:pt idx="20">
                  <c:v>0.52500000000000002</c:v>
                </c:pt>
                <c:pt idx="21">
                  <c:v>0.42236024844720499</c:v>
                </c:pt>
                <c:pt idx="22">
                  <c:v>0.34814814814814815</c:v>
                </c:pt>
                <c:pt idx="23">
                  <c:v>0.23255813953488372</c:v>
                </c:pt>
                <c:pt idx="24">
                  <c:v>0.54488888888888887</c:v>
                </c:pt>
                <c:pt idx="25">
                  <c:v>0.3508500772797527</c:v>
                </c:pt>
                <c:pt idx="26">
                  <c:v>0.18181818181818182</c:v>
                </c:pt>
                <c:pt idx="27">
                  <c:v>0.32160804020100503</c:v>
                </c:pt>
                <c:pt idx="28">
                  <c:v>0.2965186074429772</c:v>
                </c:pt>
                <c:pt idx="29">
                  <c:v>0.46078431372549017</c:v>
                </c:pt>
                <c:pt idx="30">
                  <c:v>0.51570680628272247</c:v>
                </c:pt>
                <c:pt idx="31">
                  <c:v>0.34228187919463088</c:v>
                </c:pt>
                <c:pt idx="32">
                  <c:v>0.47851002865329512</c:v>
                </c:pt>
                <c:pt idx="33">
                  <c:v>0.26792452830188679</c:v>
                </c:pt>
                <c:pt idx="34">
                  <c:v>0.26639496109670247</c:v>
                </c:pt>
                <c:pt idx="35">
                  <c:v>0.39776951672862454</c:v>
                </c:pt>
                <c:pt idx="36">
                  <c:v>0.52500000000000002</c:v>
                </c:pt>
                <c:pt idx="37">
                  <c:v>0.40701219512195119</c:v>
                </c:pt>
                <c:pt idx="38">
                  <c:v>0.33333333333333331</c:v>
                </c:pt>
                <c:pt idx="39">
                  <c:v>0.38492507269067322</c:v>
                </c:pt>
                <c:pt idx="40">
                  <c:v>0.48979591836734693</c:v>
                </c:pt>
                <c:pt idx="41">
                  <c:v>0.5</c:v>
                </c:pt>
                <c:pt idx="42">
                  <c:v>0.42452830188679247</c:v>
                </c:pt>
                <c:pt idx="43">
                  <c:v>1.705855232826187E-2</c:v>
                </c:pt>
                <c:pt idx="44">
                  <c:v>0.50049999999999994</c:v>
                </c:pt>
                <c:pt idx="45">
                  <c:v>0.33333333333333331</c:v>
                </c:pt>
                <c:pt idx="46">
                  <c:v>0.49012158054711247</c:v>
                </c:pt>
                <c:pt idx="47">
                  <c:v>0.38461538461538464</c:v>
                </c:pt>
                <c:pt idx="48">
                  <c:v>0.60515873015873012</c:v>
                </c:pt>
                <c:pt idx="49">
                  <c:v>0.50166666666666671</c:v>
                </c:pt>
                <c:pt idx="50">
                  <c:v>2.2954679223072396E-2</c:v>
                </c:pt>
                <c:pt idx="51">
                  <c:v>0.22135416666666666</c:v>
                </c:pt>
                <c:pt idx="52">
                  <c:v>2.6684456304202801E-2</c:v>
                </c:pt>
                <c:pt idx="53">
                  <c:v>0.4050632911392405</c:v>
                </c:pt>
                <c:pt idx="54">
                  <c:v>0.44555555555555554</c:v>
                </c:pt>
                <c:pt idx="55">
                  <c:v>0.47952345495160087</c:v>
                </c:pt>
                <c:pt idx="56">
                  <c:v>0.49010848755583919</c:v>
                </c:pt>
                <c:pt idx="57">
                  <c:v>0.26535433070866143</c:v>
                </c:pt>
                <c:pt idx="58">
                  <c:v>0.5546875</c:v>
                </c:pt>
                <c:pt idx="59">
                  <c:v>0.13200000000000001</c:v>
                </c:pt>
                <c:pt idx="60">
                  <c:v>0.53549695740365111</c:v>
                </c:pt>
                <c:pt idx="61">
                  <c:v>0.55000000000000004</c:v>
                </c:pt>
                <c:pt idx="62">
                  <c:v>0.49026345933562426</c:v>
                </c:pt>
                <c:pt idx="63">
                  <c:v>0.5220588235294118</c:v>
                </c:pt>
                <c:pt idx="64">
                  <c:v>0.21543408360128619</c:v>
                </c:pt>
                <c:pt idx="65">
                  <c:v>0.45424476295479604</c:v>
                </c:pt>
                <c:pt idx="66">
                  <c:v>0.5</c:v>
                </c:pt>
                <c:pt idx="67">
                  <c:v>0.38954908025394758</c:v>
                </c:pt>
                <c:pt idx="68">
                  <c:v>0.45428571428571429</c:v>
                </c:pt>
                <c:pt idx="69">
                  <c:v>0.29012345679012347</c:v>
                </c:pt>
                <c:pt idx="70">
                  <c:v>0.42691029900332228</c:v>
                </c:pt>
                <c:pt idx="71">
                  <c:v>0.43381535038932145</c:v>
                </c:pt>
                <c:pt idx="72">
                  <c:v>0.46637265711135611</c:v>
                </c:pt>
                <c:pt idx="73">
                  <c:v>0.4745649263721553</c:v>
                </c:pt>
                <c:pt idx="74">
                  <c:v>0.46801346801346799</c:v>
                </c:pt>
                <c:pt idx="75">
                  <c:v>0.42499999999999999</c:v>
                </c:pt>
                <c:pt idx="76">
                  <c:v>3.7242912729294052E-2</c:v>
                </c:pt>
                <c:pt idx="77">
                  <c:v>0.48888888888888887</c:v>
                </c:pt>
                <c:pt idx="78">
                  <c:v>0.45929968167348795</c:v>
                </c:pt>
                <c:pt idx="79">
                  <c:v>0.49010416666666667</c:v>
                </c:pt>
                <c:pt idx="80">
                  <c:v>0.36244541484716158</c:v>
                </c:pt>
                <c:pt idx="81">
                  <c:v>1.9423190111830489E-2</c:v>
                </c:pt>
                <c:pt idx="82">
                  <c:v>0.48995363214837712</c:v>
                </c:pt>
                <c:pt idx="83">
                  <c:v>0.48985507246376814</c:v>
                </c:pt>
                <c:pt idx="84">
                  <c:v>0.13713949381989404</c:v>
                </c:pt>
                <c:pt idx="85">
                  <c:v>0.48975791433891991</c:v>
                </c:pt>
                <c:pt idx="86">
                  <c:v>0.11222222222222222</c:v>
                </c:pt>
                <c:pt idx="87">
                  <c:v>0.48990683229813664</c:v>
                </c:pt>
                <c:pt idx="88">
                  <c:v>0.13596233078281342</c:v>
                </c:pt>
                <c:pt idx="89">
                  <c:v>0.42727272727272725</c:v>
                </c:pt>
                <c:pt idx="90">
                  <c:v>0.5</c:v>
                </c:pt>
                <c:pt idx="91">
                  <c:v>0.48</c:v>
                </c:pt>
                <c:pt idx="92">
                  <c:v>0.47499999999999998</c:v>
                </c:pt>
                <c:pt idx="93">
                  <c:v>0.47086521483225424</c:v>
                </c:pt>
                <c:pt idx="94">
                  <c:v>0.5</c:v>
                </c:pt>
                <c:pt idx="95">
                  <c:v>8.0722891566265054E-2</c:v>
                </c:pt>
                <c:pt idx="96">
                  <c:v>2.4683122081387593E-2</c:v>
                </c:pt>
                <c:pt idx="97">
                  <c:v>0.48971193415637859</c:v>
                </c:pt>
                <c:pt idx="98">
                  <c:v>4.1362530413625302E-2</c:v>
                </c:pt>
                <c:pt idx="99">
                  <c:v>0.48979591836734693</c:v>
                </c:pt>
                <c:pt idx="100">
                  <c:v>0.42369263607257202</c:v>
                </c:pt>
                <c:pt idx="101">
                  <c:v>0.20662598081952921</c:v>
                </c:pt>
                <c:pt idx="102">
                  <c:v>0.41322314049586778</c:v>
                </c:pt>
                <c:pt idx="103">
                  <c:v>1.2638230647709321E-2</c:v>
                </c:pt>
                <c:pt idx="104">
                  <c:v>0.23846153846153847</c:v>
                </c:pt>
                <c:pt idx="105">
                  <c:v>0.3379389752446747</c:v>
                </c:pt>
                <c:pt idx="106">
                  <c:v>0.34254143646408841</c:v>
                </c:pt>
                <c:pt idx="107">
                  <c:v>2.4131842260153032E-2</c:v>
                </c:pt>
                <c:pt idx="108">
                  <c:v>1.7231795441912175E-2</c:v>
                </c:pt>
                <c:pt idx="109">
                  <c:v>0.64014466546112114</c:v>
                </c:pt>
                <c:pt idx="110">
                  <c:v>0.5</c:v>
                </c:pt>
                <c:pt idx="111">
                  <c:v>0.47187499999999999</c:v>
                </c:pt>
              </c:numCache>
            </c:numRef>
          </c:xVal>
          <c:yVal>
            <c:numRef>
              <c:f>'Excel_jumia_dataset assignment '!$I$2:$I$129</c:f>
              <c:numCache>
                <c:formatCode>General</c:formatCode>
                <c:ptCount val="128"/>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1-096C-4050-89DC-31D614076065}"/>
            </c:ext>
          </c:extLst>
        </c:ser>
        <c:dLbls>
          <c:showLegendKey val="0"/>
          <c:showVal val="0"/>
          <c:showCatName val="0"/>
          <c:showSerName val="0"/>
          <c:showPercent val="0"/>
          <c:showBubbleSize val="0"/>
        </c:dLbls>
        <c:axId val="1331355791"/>
        <c:axId val="1331354831"/>
      </c:scatterChart>
      <c:valAx>
        <c:axId val="13313557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31354831"/>
        <c:crosses val="autoZero"/>
        <c:crossBetween val="midCat"/>
      </c:valAx>
      <c:valAx>
        <c:axId val="133135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3135579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Rating</a:t>
            </a:r>
            <a:r>
              <a:rPr lang="en-US" baseline="0">
                <a:solidFill>
                  <a:schemeClr val="tx1"/>
                </a:solidFill>
              </a:rPr>
              <a:t> -Reviews Correlation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'Excel_jumia_dataset assignment '!$K$1</c:f>
              <c:strCache>
                <c:ptCount val="1"/>
                <c:pt idx="0">
                  <c:v>Abs_rating</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'Excel_jumia_dataset assignment '!$I$2:$I$129</c:f>
              <c:strCache>
                <c:ptCount val="111"/>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38">
                  <c:v>2</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8">
                  <c:v>1</c:v>
                </c:pt>
                <c:pt idx="79">
                  <c:v>1</c:v>
                </c:pt>
                <c:pt idx="82">
                  <c:v>1</c:v>
                </c:pt>
                <c:pt idx="101">
                  <c:v>1</c:v>
                </c:pt>
                <c:pt idx="110">
                  <c:v>1</c:v>
                </c:pt>
              </c:strCache>
            </c:strRef>
          </c:xVal>
          <c:yVal>
            <c:numRef>
              <c:f>'Excel_jumia_dataset assignment '!$K$2:$K$129</c:f>
              <c:numCache>
                <c:formatCode>General</c:formatCode>
                <c:ptCount val="128"/>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1-8D10-42ED-B1CC-46A56BB66990}"/>
            </c:ext>
          </c:extLst>
        </c:ser>
        <c:dLbls>
          <c:showLegendKey val="0"/>
          <c:showVal val="0"/>
          <c:showCatName val="0"/>
          <c:showSerName val="0"/>
          <c:showPercent val="0"/>
          <c:showBubbleSize val="0"/>
        </c:dLbls>
        <c:axId val="1472951663"/>
        <c:axId val="1472942543"/>
      </c:scatterChart>
      <c:valAx>
        <c:axId val="14729516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72942543"/>
        <c:crosses val="autoZero"/>
        <c:crossBetween val="midCat"/>
      </c:valAx>
      <c:valAx>
        <c:axId val="147294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7295166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 + Pivot.xlsx]PIVOT!PivotTable3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PRODUCT</a:t>
            </a:r>
            <a:r>
              <a:rPr lang="en-US" baseline="0">
                <a:solidFill>
                  <a:schemeClr val="tx1"/>
                </a:solidFill>
              </a:rPr>
              <a:t> COUNT BY DISCOUNT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s>
    <c:plotArea>
      <c:layout/>
      <c:pieChart>
        <c:varyColors val="1"/>
        <c:ser>
          <c:idx val="0"/>
          <c:order val="0"/>
          <c:tx>
            <c:strRef>
              <c:f>PIVOT!$M$43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750F-4C56-9FE6-F0C9245FAB6A}"/>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750F-4C56-9FE6-F0C9245FAB6A}"/>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750F-4C56-9FE6-F0C9245FAB6A}"/>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750F-4C56-9FE6-F0C9245FAB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PIVOT!$L$44:$L$48</c:f>
              <c:strCache>
                <c:ptCount val="4"/>
                <c:pt idx="0">
                  <c:v>HIGH_DISCOUNT</c:v>
                </c:pt>
                <c:pt idx="1">
                  <c:v>LOW_DISCOUNT</c:v>
                </c:pt>
                <c:pt idx="2">
                  <c:v>MEDIUM_DISCOUNT</c:v>
                </c:pt>
                <c:pt idx="3">
                  <c:v>(blank)</c:v>
                </c:pt>
              </c:strCache>
            </c:strRef>
          </c:cat>
          <c:val>
            <c:numRef>
              <c:f>PIVOT!$M$44:$M$48</c:f>
              <c:numCache>
                <c:formatCode>General</c:formatCode>
                <c:ptCount val="4"/>
                <c:pt idx="0">
                  <c:v>60</c:v>
                </c:pt>
                <c:pt idx="1">
                  <c:v>18</c:v>
                </c:pt>
                <c:pt idx="2">
                  <c:v>31</c:v>
                </c:pt>
                <c:pt idx="3">
                  <c:v>12</c:v>
                </c:pt>
              </c:numCache>
            </c:numRef>
          </c:val>
          <c:extLst>
            <c:ext xmlns:c16="http://schemas.microsoft.com/office/drawing/2014/chart" uri="{C3380CC4-5D6E-409C-BE32-E72D297353CC}">
              <c16:uniqueId val="{00000008-750F-4C56-9FE6-F0C9245FAB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 Pivot.xlsx]PIVOT!PivotTable4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RANKING</a:t>
            </a:r>
            <a:r>
              <a:rPr lang="en-US" baseline="0">
                <a:solidFill>
                  <a:schemeClr val="tx1"/>
                </a:solidFill>
              </a:rPr>
              <a:t> BY PRODUCT RATING</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PIVOT!$M$53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PIVOT!$L$54:$L$58</c:f>
              <c:strCache>
                <c:ptCount val="4"/>
                <c:pt idx="0">
                  <c:v>(blank)</c:v>
                </c:pt>
                <c:pt idx="1">
                  <c:v>POOR</c:v>
                </c:pt>
                <c:pt idx="2">
                  <c:v>EXCELLENT</c:v>
                </c:pt>
                <c:pt idx="3">
                  <c:v>AVERAGE</c:v>
                </c:pt>
              </c:strCache>
            </c:strRef>
          </c:cat>
          <c:val>
            <c:numRef>
              <c:f>PIVOT!$M$54:$M$58</c:f>
              <c:numCache>
                <c:formatCode>General</c:formatCode>
                <c:ptCount val="4"/>
                <c:pt idx="0">
                  <c:v>12</c:v>
                </c:pt>
                <c:pt idx="1">
                  <c:v>12</c:v>
                </c:pt>
                <c:pt idx="2">
                  <c:v>75</c:v>
                </c:pt>
                <c:pt idx="3">
                  <c:v>22</c:v>
                </c:pt>
              </c:numCache>
            </c:numRef>
          </c:val>
          <c:extLst>
            <c:ext xmlns:c16="http://schemas.microsoft.com/office/drawing/2014/chart" uri="{C3380CC4-5D6E-409C-BE32-E72D297353CC}">
              <c16:uniqueId val="{00000000-CE6E-49A6-A436-B5D081E3150D}"/>
            </c:ext>
          </c:extLst>
        </c:ser>
        <c:dLbls>
          <c:dLblPos val="outEnd"/>
          <c:showLegendKey val="0"/>
          <c:showVal val="1"/>
          <c:showCatName val="0"/>
          <c:showSerName val="0"/>
          <c:showPercent val="0"/>
          <c:showBubbleSize val="0"/>
        </c:dLbls>
        <c:gapWidth val="150"/>
        <c:axId val="169162624"/>
        <c:axId val="169167424"/>
      </c:barChart>
      <c:valAx>
        <c:axId val="16916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9162624"/>
        <c:crosses val="autoZero"/>
        <c:crossBetween val="between"/>
      </c:valAx>
      <c:catAx>
        <c:axId val="169162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91674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13</xdr:col>
      <xdr:colOff>510923</xdr:colOff>
      <xdr:row>1</xdr:row>
      <xdr:rowOff>179514</xdr:rowOff>
    </xdr:from>
    <xdr:to>
      <xdr:col>21</xdr:col>
      <xdr:colOff>239990</xdr:colOff>
      <xdr:row>20</xdr:row>
      <xdr:rowOff>99685</xdr:rowOff>
    </xdr:to>
    <xdr:graphicFrame macro="">
      <xdr:nvGraphicFramePr>
        <xdr:cNvPr id="2" name="Chart 1">
          <a:extLst>
            <a:ext uri="{FF2B5EF4-FFF2-40B4-BE49-F238E27FC236}">
              <a16:creationId xmlns:a16="http://schemas.microsoft.com/office/drawing/2014/main" id="{F5BC3488-A4E0-E1EF-4D6D-AE784FF10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523829</xdr:colOff>
      <xdr:row>21</xdr:row>
      <xdr:rowOff>63509</xdr:rowOff>
    </xdr:from>
    <xdr:to>
      <xdr:col>21</xdr:col>
      <xdr:colOff>234489</xdr:colOff>
      <xdr:row>36</xdr:row>
      <xdr:rowOff>45747</xdr:rowOff>
    </xdr:to>
    <xdr:graphicFrame macro="">
      <xdr:nvGraphicFramePr>
        <xdr:cNvPr id="3" name="Chart 2">
          <a:extLst>
            <a:ext uri="{FF2B5EF4-FFF2-40B4-BE49-F238E27FC236}">
              <a16:creationId xmlns:a16="http://schemas.microsoft.com/office/drawing/2014/main" id="{54F1BDFF-CA27-8C69-8653-862ECE1BF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323850</xdr:colOff>
      <xdr:row>10</xdr:row>
      <xdr:rowOff>63500</xdr:rowOff>
    </xdr:from>
    <xdr:to>
      <xdr:col>10</xdr:col>
      <xdr:colOff>455636</xdr:colOff>
      <xdr:row>19</xdr:row>
      <xdr:rowOff>44450</xdr:rowOff>
    </xdr:to>
    <mc:AlternateContent xmlns:mc="http://schemas.openxmlformats.org/markup-compatibility/2006" xmlns:a14="http://schemas.microsoft.com/office/drawing/2010/main">
      <mc:Choice Requires="a14">
        <xdr:graphicFrame macro="">
          <xdr:nvGraphicFramePr>
            <xdr:cNvPr id="14" name="Discount_category">
              <a:extLst>
                <a:ext uri="{FF2B5EF4-FFF2-40B4-BE49-F238E27FC236}">
                  <a16:creationId xmlns:a16="http://schemas.microsoft.com/office/drawing/2014/main" id="{72D991EB-6453-A0ED-1800-998A01DEF936}"/>
                </a:ext>
              </a:extLst>
            </xdr:cNvPr>
            <xdr:cNvGraphicFramePr/>
          </xdr:nvGraphicFramePr>
          <xdr:xfrm>
            <a:off x="0" y="0"/>
            <a:ext cx="0" cy="0"/>
          </xdr:xfrm>
          <a:graphic>
            <a:graphicData uri="http://schemas.microsoft.com/office/drawing/2010/slicer">
              <sle:slicer xmlns:sle="http://schemas.microsoft.com/office/drawing/2010/slicer" name="Discount_category"/>
            </a:graphicData>
          </a:graphic>
        </xdr:graphicFrame>
      </mc:Choice>
      <mc:Fallback xmlns="">
        <xdr:sp macro="" textlink="">
          <xdr:nvSpPr>
            <xdr:cNvPr id="0" name=""/>
            <xdr:cNvSpPr>
              <a:spLocks noTextEdit="1"/>
            </xdr:cNvSpPr>
          </xdr:nvSpPr>
          <xdr:spPr>
            <a:xfrm>
              <a:off x="9156700" y="1905000"/>
              <a:ext cx="1828800" cy="16383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317500</xdr:colOff>
      <xdr:row>1</xdr:row>
      <xdr:rowOff>171450</xdr:rowOff>
    </xdr:from>
    <xdr:to>
      <xdr:col>10</xdr:col>
      <xdr:colOff>449286</xdr:colOff>
      <xdr:row>9</xdr:row>
      <xdr:rowOff>114300</xdr:rowOff>
    </xdr:to>
    <mc:AlternateContent xmlns:mc="http://schemas.openxmlformats.org/markup-compatibility/2006" xmlns:a14="http://schemas.microsoft.com/office/drawing/2010/main">
      <mc:Choice Requires="a14">
        <xdr:graphicFrame macro="">
          <xdr:nvGraphicFramePr>
            <xdr:cNvPr id="15" name="category Rating">
              <a:extLst>
                <a:ext uri="{FF2B5EF4-FFF2-40B4-BE49-F238E27FC236}">
                  <a16:creationId xmlns:a16="http://schemas.microsoft.com/office/drawing/2014/main" id="{504B640E-EF73-6BD4-3FA6-29AA168729CB}"/>
                </a:ext>
              </a:extLst>
            </xdr:cNvPr>
            <xdr:cNvGraphicFramePr/>
          </xdr:nvGraphicFramePr>
          <xdr:xfrm>
            <a:off x="0" y="0"/>
            <a:ext cx="0" cy="0"/>
          </xdr:xfrm>
          <a:graphic>
            <a:graphicData uri="http://schemas.microsoft.com/office/drawing/2010/slicer">
              <sle:slicer xmlns:sle="http://schemas.microsoft.com/office/drawing/2010/slicer" name="category Rating"/>
            </a:graphicData>
          </a:graphic>
        </xdr:graphicFrame>
      </mc:Choice>
      <mc:Fallback xmlns="">
        <xdr:sp macro="" textlink="">
          <xdr:nvSpPr>
            <xdr:cNvPr id="0" name=""/>
            <xdr:cNvSpPr>
              <a:spLocks noTextEdit="1"/>
            </xdr:cNvSpPr>
          </xdr:nvSpPr>
          <xdr:spPr>
            <a:xfrm>
              <a:off x="9150350" y="355600"/>
              <a:ext cx="1828800" cy="14160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226391</xdr:colOff>
      <xdr:row>73</xdr:row>
      <xdr:rowOff>142276</xdr:rowOff>
    </xdr:from>
    <xdr:to>
      <xdr:col>1</xdr:col>
      <xdr:colOff>611072</xdr:colOff>
      <xdr:row>88</xdr:row>
      <xdr:rowOff>124607</xdr:rowOff>
    </xdr:to>
    <xdr:graphicFrame macro="">
      <xdr:nvGraphicFramePr>
        <xdr:cNvPr id="2" name="Chart 1">
          <a:extLst>
            <a:ext uri="{FF2B5EF4-FFF2-40B4-BE49-F238E27FC236}">
              <a16:creationId xmlns:a16="http://schemas.microsoft.com/office/drawing/2014/main" id="{291F5977-C93B-A8C4-2D8A-775A3D2EA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346029</xdr:colOff>
      <xdr:row>73</xdr:row>
      <xdr:rowOff>59451</xdr:rowOff>
    </xdr:from>
    <xdr:to>
      <xdr:col>15</xdr:col>
      <xdr:colOff>316580</xdr:colOff>
      <xdr:row>88</xdr:row>
      <xdr:rowOff>41782</xdr:rowOff>
    </xdr:to>
    <xdr:graphicFrame macro="">
      <xdr:nvGraphicFramePr>
        <xdr:cNvPr id="3" name="Chart 2">
          <a:extLst>
            <a:ext uri="{FF2B5EF4-FFF2-40B4-BE49-F238E27FC236}">
              <a16:creationId xmlns:a16="http://schemas.microsoft.com/office/drawing/2014/main" id="{7C030F9C-87E2-0034-8A90-89E5FC15F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240196</xdr:colOff>
      <xdr:row>73</xdr:row>
      <xdr:rowOff>119269</xdr:rowOff>
    </xdr:from>
    <xdr:to>
      <xdr:col>8</xdr:col>
      <xdr:colOff>256762</xdr:colOff>
      <xdr:row>88</xdr:row>
      <xdr:rowOff>101600</xdr:rowOff>
    </xdr:to>
    <xdr:graphicFrame macro="">
      <xdr:nvGraphicFramePr>
        <xdr:cNvPr id="4" name="Chart 3">
          <a:extLst>
            <a:ext uri="{FF2B5EF4-FFF2-40B4-BE49-F238E27FC236}">
              <a16:creationId xmlns:a16="http://schemas.microsoft.com/office/drawing/2014/main" id="{8E865A38-6480-15E9-C168-315607402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1970341</xdr:colOff>
      <xdr:row>34</xdr:row>
      <xdr:rowOff>27241</xdr:rowOff>
    </xdr:from>
    <xdr:to>
      <xdr:col>9</xdr:col>
      <xdr:colOff>275167</xdr:colOff>
      <xdr:row>49</xdr:row>
      <xdr:rowOff>9571</xdr:rowOff>
    </xdr:to>
    <xdr:graphicFrame macro="">
      <xdr:nvGraphicFramePr>
        <xdr:cNvPr id="5" name="Chart 4">
          <a:extLst>
            <a:ext uri="{FF2B5EF4-FFF2-40B4-BE49-F238E27FC236}">
              <a16:creationId xmlns:a16="http://schemas.microsoft.com/office/drawing/2014/main" id="{784D2C60-02E4-7FA7-DF4B-B1219D82D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158750</xdr:colOff>
      <xdr:row>0</xdr:row>
      <xdr:rowOff>44450</xdr:rowOff>
    </xdr:from>
    <xdr:to>
      <xdr:col>15</xdr:col>
      <xdr:colOff>139700</xdr:colOff>
      <xdr:row>3</xdr:row>
      <xdr:rowOff>31750</xdr:rowOff>
    </xdr:to>
    <xdr:sp macro="" textlink="">
      <xdr:nvSpPr>
        <xdr:cNvPr id="2" name="Rectangle 1">
          <a:extLst>
            <a:ext uri="{FF2B5EF4-FFF2-40B4-BE49-F238E27FC236}">
              <a16:creationId xmlns:a16="http://schemas.microsoft.com/office/drawing/2014/main" id="{EF2812D8-8BFB-7605-0558-EA8FC4D4EA8D}"/>
            </a:ext>
          </a:extLst>
        </xdr:cNvPr>
        <xdr:cNvSpPr/>
      </xdr:nvSpPr>
      <xdr:spPr>
        <a:xfrm>
          <a:off x="3206750" y="44450"/>
          <a:ext cx="6076950" cy="53975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KE" sz="2800" b="1">
              <a:solidFill>
                <a:srgbClr val="FFC000"/>
              </a:solidFill>
            </a:rPr>
            <a:t>Jumia Product Performance Dashboard</a:t>
          </a:r>
        </a:p>
      </xdr:txBody>
    </xdr:sp>
    <xdr:clientData/>
  </xdr:twoCellAnchor>
  <xdr:twoCellAnchor>
    <xdr:from>
      <xdr:col>3</xdr:col>
      <xdr:colOff>571500</xdr:colOff>
      <xdr:row>4</xdr:row>
      <xdr:rowOff>12700</xdr:rowOff>
    </xdr:from>
    <xdr:to>
      <xdr:col>6</xdr:col>
      <xdr:colOff>495300</xdr:colOff>
      <xdr:row>7</xdr:row>
      <xdr:rowOff>12700</xdr:rowOff>
    </xdr:to>
    <xdr:sp macro="" textlink="">
      <xdr:nvSpPr>
        <xdr:cNvPr id="3" name="Rectangle 2">
          <a:extLst>
            <a:ext uri="{FF2B5EF4-FFF2-40B4-BE49-F238E27FC236}">
              <a16:creationId xmlns:a16="http://schemas.microsoft.com/office/drawing/2014/main" id="{DC547753-7679-67E1-9920-BC65DC21E833}"/>
            </a:ext>
          </a:extLst>
        </xdr:cNvPr>
        <xdr:cNvSpPr/>
      </xdr:nvSpPr>
      <xdr:spPr>
        <a:xfrm>
          <a:off x="2400300" y="749300"/>
          <a:ext cx="1752600" cy="55245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a:solidFill>
                <a:srgbClr val="FFC000"/>
              </a:solidFill>
            </a:rPr>
            <a:t>TOTAL</a:t>
          </a:r>
          <a:r>
            <a:rPr lang="en-US" sz="1400" b="1" baseline="0">
              <a:solidFill>
                <a:srgbClr val="FFC000"/>
              </a:solidFill>
            </a:rPr>
            <a:t> PRODUCTS</a:t>
          </a:r>
        </a:p>
        <a:p>
          <a:pPr algn="ctr"/>
          <a:r>
            <a:rPr lang="en-US" sz="1400" b="1" baseline="0">
              <a:solidFill>
                <a:srgbClr val="FFC000"/>
              </a:solidFill>
            </a:rPr>
            <a:t>110</a:t>
          </a:r>
          <a:endParaRPr lang="en-KE" sz="1400" b="1">
            <a:solidFill>
              <a:srgbClr val="FFC000"/>
            </a:solidFill>
          </a:endParaRPr>
        </a:p>
      </xdr:txBody>
    </xdr:sp>
    <xdr:clientData/>
  </xdr:twoCellAnchor>
  <xdr:twoCellAnchor>
    <xdr:from>
      <xdr:col>7</xdr:col>
      <xdr:colOff>101600</xdr:colOff>
      <xdr:row>4</xdr:row>
      <xdr:rowOff>12700</xdr:rowOff>
    </xdr:from>
    <xdr:to>
      <xdr:col>10</xdr:col>
      <xdr:colOff>25400</xdr:colOff>
      <xdr:row>7</xdr:row>
      <xdr:rowOff>12700</xdr:rowOff>
    </xdr:to>
    <xdr:sp macro="" textlink="">
      <xdr:nvSpPr>
        <xdr:cNvPr id="4" name="Rectangle 3">
          <a:extLst>
            <a:ext uri="{FF2B5EF4-FFF2-40B4-BE49-F238E27FC236}">
              <a16:creationId xmlns:a16="http://schemas.microsoft.com/office/drawing/2014/main" id="{B1BBACB7-9B7C-4823-9FCE-0A9B56EEF828}"/>
            </a:ext>
          </a:extLst>
        </xdr:cNvPr>
        <xdr:cNvSpPr/>
      </xdr:nvSpPr>
      <xdr:spPr>
        <a:xfrm>
          <a:off x="4368800" y="749300"/>
          <a:ext cx="1752600" cy="55245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a:solidFill>
                <a:srgbClr val="FFC000"/>
              </a:solidFill>
            </a:rPr>
            <a:t>AVERAGE</a:t>
          </a:r>
          <a:r>
            <a:rPr lang="en-US" sz="1400" b="1" baseline="0">
              <a:solidFill>
                <a:srgbClr val="FFC000"/>
              </a:solidFill>
            </a:rPr>
            <a:t> RATING</a:t>
          </a:r>
        </a:p>
        <a:p>
          <a:pPr algn="ctr"/>
          <a:r>
            <a:rPr lang="en-US" sz="1400" b="1" baseline="0">
              <a:solidFill>
                <a:srgbClr val="FFC000"/>
              </a:solidFill>
            </a:rPr>
            <a:t>3.9</a:t>
          </a:r>
          <a:endParaRPr lang="en-KE" sz="1400" b="1">
            <a:solidFill>
              <a:srgbClr val="FFC000"/>
            </a:solidFill>
          </a:endParaRPr>
        </a:p>
      </xdr:txBody>
    </xdr:sp>
    <xdr:clientData/>
  </xdr:twoCellAnchor>
  <xdr:twoCellAnchor>
    <xdr:from>
      <xdr:col>10</xdr:col>
      <xdr:colOff>400050</xdr:colOff>
      <xdr:row>4</xdr:row>
      <xdr:rowOff>12700</xdr:rowOff>
    </xdr:from>
    <xdr:to>
      <xdr:col>13</xdr:col>
      <xdr:colOff>520700</xdr:colOff>
      <xdr:row>7</xdr:row>
      <xdr:rowOff>31750</xdr:rowOff>
    </xdr:to>
    <xdr:sp macro="" textlink="">
      <xdr:nvSpPr>
        <xdr:cNvPr id="5" name="Rectangle 4">
          <a:extLst>
            <a:ext uri="{FF2B5EF4-FFF2-40B4-BE49-F238E27FC236}">
              <a16:creationId xmlns:a16="http://schemas.microsoft.com/office/drawing/2014/main" id="{227BF354-5ED1-4ADC-BF26-651E609E346A}"/>
            </a:ext>
          </a:extLst>
        </xdr:cNvPr>
        <xdr:cNvSpPr/>
      </xdr:nvSpPr>
      <xdr:spPr>
        <a:xfrm>
          <a:off x="6496050" y="749300"/>
          <a:ext cx="1949450" cy="5715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a:solidFill>
                <a:srgbClr val="FFC000"/>
              </a:solidFill>
            </a:rPr>
            <a:t>AVERAGE</a:t>
          </a:r>
          <a:r>
            <a:rPr lang="en-US" sz="1400" b="1" baseline="0">
              <a:solidFill>
                <a:srgbClr val="FFC000"/>
              </a:solidFill>
            </a:rPr>
            <a:t> DISCOUNT %</a:t>
          </a:r>
        </a:p>
        <a:p>
          <a:pPr algn="ctr"/>
          <a:r>
            <a:rPr lang="en-US" sz="1400" b="1" baseline="0">
              <a:solidFill>
                <a:srgbClr val="FFC000"/>
              </a:solidFill>
            </a:rPr>
            <a:t>36.7%</a:t>
          </a:r>
          <a:endParaRPr lang="en-KE" sz="1400" b="1">
            <a:solidFill>
              <a:srgbClr val="FFC000"/>
            </a:solidFill>
          </a:endParaRPr>
        </a:p>
      </xdr:txBody>
    </xdr:sp>
    <xdr:clientData/>
  </xdr:twoCellAnchor>
  <xdr:twoCellAnchor>
    <xdr:from>
      <xdr:col>14</xdr:col>
      <xdr:colOff>139700</xdr:colOff>
      <xdr:row>4</xdr:row>
      <xdr:rowOff>19050</xdr:rowOff>
    </xdr:from>
    <xdr:to>
      <xdr:col>17</xdr:col>
      <xdr:colOff>63500</xdr:colOff>
      <xdr:row>7</xdr:row>
      <xdr:rowOff>44450</xdr:rowOff>
    </xdr:to>
    <xdr:sp macro="" textlink="">
      <xdr:nvSpPr>
        <xdr:cNvPr id="6" name="Rectangle 5">
          <a:extLst>
            <a:ext uri="{FF2B5EF4-FFF2-40B4-BE49-F238E27FC236}">
              <a16:creationId xmlns:a16="http://schemas.microsoft.com/office/drawing/2014/main" id="{EF992FF9-2427-4A5D-A056-3152AC755F76}"/>
            </a:ext>
          </a:extLst>
        </xdr:cNvPr>
        <xdr:cNvSpPr/>
      </xdr:nvSpPr>
      <xdr:spPr>
        <a:xfrm>
          <a:off x="8674100" y="755650"/>
          <a:ext cx="1752600" cy="57785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US" sz="1400" b="1">
              <a:solidFill>
                <a:srgbClr val="FFC000"/>
              </a:solidFill>
            </a:rPr>
            <a:t>TOTAL REVIEWS</a:t>
          </a:r>
        </a:p>
        <a:p>
          <a:pPr algn="ctr"/>
          <a:r>
            <a:rPr lang="en-US" sz="1400" b="1">
              <a:solidFill>
                <a:srgbClr val="FFC000"/>
              </a:solidFill>
            </a:rPr>
            <a:t>723</a:t>
          </a:r>
          <a:endParaRPr lang="en-KE" sz="1400" b="1">
            <a:solidFill>
              <a:srgbClr val="FFC000"/>
            </a:solidFill>
          </a:endParaRPr>
        </a:p>
      </xdr:txBody>
    </xdr:sp>
    <xdr:clientData/>
  </xdr:twoCellAnchor>
  <xdr:twoCellAnchor>
    <xdr:from>
      <xdr:col>5</xdr:col>
      <xdr:colOff>38100</xdr:colOff>
      <xdr:row>7</xdr:row>
      <xdr:rowOff>165100</xdr:rowOff>
    </xdr:from>
    <xdr:to>
      <xdr:col>17</xdr:col>
      <xdr:colOff>114300</xdr:colOff>
      <xdr:row>27</xdr:row>
      <xdr:rowOff>25400</xdr:rowOff>
    </xdr:to>
    <xdr:graphicFrame macro="">
      <xdr:nvGraphicFramePr>
        <xdr:cNvPr id="7" name="Chart 6">
          <a:extLst>
            <a:ext uri="{FF2B5EF4-FFF2-40B4-BE49-F238E27FC236}">
              <a16:creationId xmlns:a16="http://schemas.microsoft.com/office/drawing/2014/main" id="{F6F3ABA7-4A79-4C48-9BB3-0C17553F1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76200</xdr:colOff>
      <xdr:row>45</xdr:row>
      <xdr:rowOff>171451</xdr:rowOff>
    </xdr:from>
    <xdr:to>
      <xdr:col>7</xdr:col>
      <xdr:colOff>529167</xdr:colOff>
      <xdr:row>63</xdr:row>
      <xdr:rowOff>101601</xdr:rowOff>
    </xdr:to>
    <xdr:graphicFrame macro="">
      <xdr:nvGraphicFramePr>
        <xdr:cNvPr id="9" name="Chart 8">
          <a:extLst>
            <a:ext uri="{FF2B5EF4-FFF2-40B4-BE49-F238E27FC236}">
              <a16:creationId xmlns:a16="http://schemas.microsoft.com/office/drawing/2014/main" id="{DE6A8C67-98FE-4CDD-B029-780FCEC2D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95250</xdr:colOff>
      <xdr:row>56</xdr:row>
      <xdr:rowOff>50800</xdr:rowOff>
    </xdr:from>
    <xdr:to>
      <xdr:col>17</xdr:col>
      <xdr:colOff>349250</xdr:colOff>
      <xdr:row>72</xdr:row>
      <xdr:rowOff>120650</xdr:rowOff>
    </xdr:to>
    <xdr:graphicFrame macro="">
      <xdr:nvGraphicFramePr>
        <xdr:cNvPr id="11" name="Chart 10">
          <a:extLst>
            <a:ext uri="{FF2B5EF4-FFF2-40B4-BE49-F238E27FC236}">
              <a16:creationId xmlns:a16="http://schemas.microsoft.com/office/drawing/2014/main" id="{13E70264-C1B5-41D4-BF86-395021BD8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19050</xdr:colOff>
      <xdr:row>28</xdr:row>
      <xdr:rowOff>146050</xdr:rowOff>
    </xdr:from>
    <xdr:to>
      <xdr:col>17</xdr:col>
      <xdr:colOff>558800</xdr:colOff>
      <xdr:row>46</xdr:row>
      <xdr:rowOff>44450</xdr:rowOff>
    </xdr:to>
    <xdr:graphicFrame macro="">
      <xdr:nvGraphicFramePr>
        <xdr:cNvPr id="12" name="Chart 11">
          <a:extLst>
            <a:ext uri="{FF2B5EF4-FFF2-40B4-BE49-F238E27FC236}">
              <a16:creationId xmlns:a16="http://schemas.microsoft.com/office/drawing/2014/main" id="{CBDBAB5A-E8D1-4FC4-86D7-4A474197A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76200</xdr:colOff>
      <xdr:row>31</xdr:row>
      <xdr:rowOff>0</xdr:rowOff>
    </xdr:from>
    <xdr:to>
      <xdr:col>14</xdr:col>
      <xdr:colOff>44450</xdr:colOff>
      <xdr:row>45</xdr:row>
      <xdr:rowOff>165100</xdr:rowOff>
    </xdr:to>
    <xdr:graphicFrame macro="">
      <xdr:nvGraphicFramePr>
        <xdr:cNvPr id="13" name="Chart 12">
          <a:extLst>
            <a:ext uri="{FF2B5EF4-FFF2-40B4-BE49-F238E27FC236}">
              <a16:creationId xmlns:a16="http://schemas.microsoft.com/office/drawing/2014/main" id="{D99109CC-1A01-40E3-86FA-13B59A6A4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361950</xdr:colOff>
      <xdr:row>7</xdr:row>
      <xdr:rowOff>171450</xdr:rowOff>
    </xdr:from>
    <xdr:to>
      <xdr:col>3</xdr:col>
      <xdr:colOff>367472</xdr:colOff>
      <xdr:row>15</xdr:row>
      <xdr:rowOff>113564</xdr:rowOff>
    </xdr:to>
    <mc:AlternateContent xmlns:mc="http://schemas.openxmlformats.org/markup-compatibility/2006" xmlns:a14="http://schemas.microsoft.com/office/drawing/2010/main">
      <mc:Choice Requires="a14">
        <xdr:graphicFrame macro="">
          <xdr:nvGraphicFramePr>
            <xdr:cNvPr id="8" name="category Rating 1">
              <a:extLst>
                <a:ext uri="{FF2B5EF4-FFF2-40B4-BE49-F238E27FC236}">
                  <a16:creationId xmlns:a16="http://schemas.microsoft.com/office/drawing/2014/main" id="{4359AA2D-92A8-447D-90F6-5F204CB3252E}"/>
                </a:ext>
              </a:extLst>
            </xdr:cNvPr>
            <xdr:cNvGraphicFramePr/>
          </xdr:nvGraphicFramePr>
          <xdr:xfrm>
            <a:off x="0" y="0"/>
            <a:ext cx="0" cy="0"/>
          </xdr:xfrm>
          <a:graphic>
            <a:graphicData uri="http://schemas.microsoft.com/office/drawing/2010/slicer">
              <sle:slicer xmlns:sle="http://schemas.microsoft.com/office/drawing/2010/slicer" name="category Rating 1"/>
            </a:graphicData>
          </a:graphic>
        </xdr:graphicFrame>
      </mc:Choice>
      <mc:Fallback xmlns="">
        <xdr:sp macro="" textlink="">
          <xdr:nvSpPr>
            <xdr:cNvPr id="0" name=""/>
            <xdr:cNvSpPr>
              <a:spLocks noTextEdit="1"/>
            </xdr:cNvSpPr>
          </xdr:nvSpPr>
          <xdr:spPr>
            <a:xfrm>
              <a:off x="361950" y="1460500"/>
              <a:ext cx="1834322" cy="141531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16</xdr:row>
      <xdr:rowOff>50800</xdr:rowOff>
    </xdr:from>
    <xdr:to>
      <xdr:col>3</xdr:col>
      <xdr:colOff>386522</xdr:colOff>
      <xdr:row>25</xdr:row>
      <xdr:rowOff>30921</xdr:rowOff>
    </xdr:to>
    <mc:AlternateContent xmlns:mc="http://schemas.openxmlformats.org/markup-compatibility/2006" xmlns:a14="http://schemas.microsoft.com/office/drawing/2010/main">
      <mc:Choice Requires="a14">
        <xdr:graphicFrame macro="">
          <xdr:nvGraphicFramePr>
            <xdr:cNvPr id="10" name="Discount_category 1">
              <a:extLst>
                <a:ext uri="{FF2B5EF4-FFF2-40B4-BE49-F238E27FC236}">
                  <a16:creationId xmlns:a16="http://schemas.microsoft.com/office/drawing/2014/main" id="{37A35806-4768-47AC-85B3-6A6F9D6F7675}"/>
                </a:ext>
              </a:extLst>
            </xdr:cNvPr>
            <xdr:cNvGraphicFramePr/>
          </xdr:nvGraphicFramePr>
          <xdr:xfrm>
            <a:off x="0" y="0"/>
            <a:ext cx="0" cy="0"/>
          </xdr:xfrm>
          <a:graphic>
            <a:graphicData uri="http://schemas.microsoft.com/office/drawing/2010/slicer">
              <sle:slicer xmlns:sle="http://schemas.microsoft.com/office/drawing/2010/slicer" name="Discount_category 1"/>
            </a:graphicData>
          </a:graphic>
        </xdr:graphicFrame>
      </mc:Choice>
      <mc:Fallback xmlns="">
        <xdr:sp macro="" textlink="">
          <xdr:nvSpPr>
            <xdr:cNvPr id="0" name=""/>
            <xdr:cNvSpPr>
              <a:spLocks noTextEdit="1"/>
            </xdr:cNvSpPr>
          </xdr:nvSpPr>
          <xdr:spPr>
            <a:xfrm>
              <a:off x="381000" y="2997200"/>
              <a:ext cx="1834322" cy="163747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4.01643275463" createdVersion="8" refreshedVersion="8" minRefreshableVersion="3" recordCount="237" xr:uid="{6049B698-2480-4E9E-98E4-7EDBEA384CA3}">
  <cacheSource type="worksheet">
    <worksheetSource ref="A1:L1048576" sheet="Excel_jumia_dataset assignment "/>
  </cacheSource>
  <cacheFields count="12">
    <cacheField name="Product" numFmtId="0">
      <sharedItems containsBlank="1" count="12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m/>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Christmas Fence Garden Decorations Outdoor For Holiday Home"/>
        <s v="12V 19500rpm Handheld Electric Angle Grinder Tool - UK - Yellow/Black"/>
        <s v="Simple Metal Dog Art Sculpture Decoration For Home Office"/>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Creative Owl Shape Keychain Black"/>
        <s v="Office Chair Lumbar Back Support Spine Posture Correction Pillow Car Cushion"/>
        <s v="Cartoon Car Decoration Cute Individuality For Car Home Desk"/>
        <s v="Outdoor Portable Water Bottle With Medicine Box - 600ML - Black"/>
        <s v="Angle Measuring Tool Full Metal Multi Angle Measuring Tool"/>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 v="AVERAGE CURRENT PRICE"/>
        <s v="AVERAGE OLD PRICE"/>
        <s v="AVERAGE DISCOUNT PERCENTAGE"/>
        <s v="AVERAGE RATING"/>
        <s v="AVERAGE DICOUNT"/>
        <s v="AVERAGE REVIEWS"/>
        <s v="HIGHEST PRODUCT PRICE"/>
        <s v="HIGHEST PRODUCT BY PRICE"/>
        <s v="LOWEST PRODUCT PRICE"/>
        <s v="LOWEST PRODUCT BY PRICE"/>
      </sharedItems>
    </cacheField>
    <cacheField name="Current price" numFmtId="0">
      <sharedItems containsBlank="1" containsMixedTypes="1" containsNumber="1" minValue="0.36714123251752773" maxValue="3750" count="112">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m/>
        <n v="1186.8928571428571"/>
        <n v="1811.1071428571429"/>
        <n v="0.36714123251752773"/>
        <n v="3.8894736842105258"/>
        <n v="624.21428571428567"/>
        <n v="12.684210526315789"/>
        <s v="32PCS Portable Cordless Drill Set With Cyclic Battery Drive -26 Variable Speed"/>
        <s v="3PCS Single Head Knitting Crochet Sweater Needle Set"/>
      </sharedItems>
    </cacheField>
    <cacheField name="old price" numFmtId="2">
      <sharedItems containsString="0" containsBlank="1" containsNumber="1" containsInteger="1" minValue="80" maxValue="6143"/>
    </cacheField>
    <cacheField name="Abs_dicount" numFmtId="2">
      <sharedItems containsString="0" containsBlank="1" containsNumber="1" containsInteger="1" minValue="24" maxValue="2585"/>
    </cacheField>
    <cacheField name="Abs_Disc(%)" numFmtId="10">
      <sharedItems containsString="0" containsBlank="1" containsNumber="1" minValue="1.2638230647709321E-2" maxValue="0.64014466546112114" count="106">
        <n v="0.37704918032786883"/>
        <n v="0.47247247247247248"/>
        <n v="0.24769072870338693"/>
        <n v="0.36774709883953582"/>
        <n v="0.26146010186757218"/>
        <n v="8.8449848024316116E-2"/>
        <n v="0.23515831134564644"/>
        <n v="0.37468354430379747"/>
        <n v="0.54500000000000004"/>
        <n v="0.45373847729600547"/>
        <n v="0.20020020020020021"/>
        <n v="0.34"/>
        <n v="0.46666666666666667"/>
        <n v="0.41744186046511628"/>
        <n v="0.32773109243697479"/>
        <n v="0.51461988304093564"/>
        <n v="0.45833333333333331"/>
        <n v="0.49005288340468395"/>
        <n v="0.18924033522573669"/>
        <n v="0.49237029501525942"/>
        <n v="0.52500000000000002"/>
        <n v="0.42236024844720499"/>
        <n v="0.34814814814814815"/>
        <n v="0.23255813953488372"/>
        <n v="0.54488888888888887"/>
        <n v="0.3508500772797527"/>
        <n v="0.18181818181818182"/>
        <n v="0.32160804020100503"/>
        <n v="0.2965186074429772"/>
        <n v="0.46078431372549017"/>
        <n v="0.51570680628272247"/>
        <n v="0.34228187919463088"/>
        <n v="0.47851002865329512"/>
        <n v="0.26792452830188679"/>
        <n v="0.26639496109670247"/>
        <n v="0.39776951672862454"/>
        <n v="0.40701219512195119"/>
        <n v="0.33333333333333331"/>
        <n v="0.38492507269067322"/>
        <n v="0.48979591836734693"/>
        <n v="0.5"/>
        <n v="0.42452830188679247"/>
        <n v="1.705855232826187E-2"/>
        <n v="0.50049999999999994"/>
        <n v="0.49012158054711247"/>
        <n v="0.38461538461538464"/>
        <n v="0.60515873015873012"/>
        <n v="0.50166666666666671"/>
        <n v="2.2954679223072396E-2"/>
        <n v="0.22135416666666666"/>
        <n v="2.6684456304202801E-2"/>
        <n v="0.4050632911392405"/>
        <n v="0.44555555555555554"/>
        <n v="0.47952345495160087"/>
        <n v="0.49010848755583919"/>
        <n v="0.26535433070866143"/>
        <n v="0.5546875"/>
        <n v="0.13200000000000001"/>
        <n v="0.53549695740365111"/>
        <n v="0.55000000000000004"/>
        <n v="0.49026345933562426"/>
        <n v="0.5220588235294118"/>
        <n v="0.21543408360128619"/>
        <n v="0.45424476295479604"/>
        <n v="0.38954908025394758"/>
        <n v="0.45428571428571429"/>
        <n v="0.29012345679012347"/>
        <n v="0.42691029900332228"/>
        <n v="0.43381535038932145"/>
        <n v="0.46637265711135611"/>
        <n v="0.4745649263721553"/>
        <n v="0.46801346801346799"/>
        <n v="0.42499999999999999"/>
        <n v="3.7242912729294052E-2"/>
        <n v="0.48888888888888887"/>
        <n v="0.45929968167348795"/>
        <n v="0.49010416666666667"/>
        <n v="0.36244541484716158"/>
        <n v="1.9423190111830489E-2"/>
        <n v="0.48995363214837712"/>
        <n v="0.48985507246376814"/>
        <n v="0.13713949381989404"/>
        <n v="0.48975791433891991"/>
        <n v="0.11222222222222222"/>
        <n v="0.48990683229813664"/>
        <n v="0.13596233078281342"/>
        <n v="0.42727272727272725"/>
        <n v="0.48"/>
        <n v="0.47499999999999998"/>
        <n v="0.47086521483225424"/>
        <n v="8.0722891566265054E-2"/>
        <n v="2.4683122081387593E-2"/>
        <n v="0.48971193415637859"/>
        <n v="4.1362530413625302E-2"/>
        <n v="0.42369263607257202"/>
        <n v="0.20662598081952921"/>
        <n v="0.41322314049586778"/>
        <n v="1.2638230647709321E-2"/>
        <n v="0.23846153846153847"/>
        <n v="0.3379389752446747"/>
        <n v="0.34254143646408841"/>
        <n v="2.4131842260153032E-2"/>
        <n v="1.7231795441912175E-2"/>
        <n v="0.64014466546112114"/>
        <n v="0.47187499999999999"/>
        <m/>
      </sharedItems>
    </cacheField>
    <cacheField name="Discount" numFmtId="0">
      <sharedItems containsString="0" containsBlank="1" containsNumber="1" minValue="0.01" maxValue="0.64"/>
    </cacheField>
    <cacheField name="Discount_category" numFmtId="0">
      <sharedItems containsBlank="1" count="28">
        <s v="MEDIUM_DISCOUNT"/>
        <s v="HIGH_DISCOUNT"/>
        <s v="LOW_DISCOUNT"/>
        <m/>
        <s v=" Top 5 products with the highest ratings "/>
        <s v="4pcs Bathroom/Kitchen Towel Rack,Roll Paper Holder,Towel Bars,Hook"/>
        <s v="MultiFunctional Storage Rack Multi-layer Bookshelf"/>
        <s v="LASA Stainless Steel Double Wall Mount Soap Dispenser - 500ml"/>
        <s v="4M Float Switch Water Level Controller -Water Tank"/>
        <s v="Modern Sofa Throw Pillow Cover-45x45cm-Blue&amp;Red"/>
        <s v="5 LOWEST PRODUCTS BY RATINGS"/>
        <s v="Wall-mounted Sticker Punch-free Plug Fixer"/>
        <s v="5-PCS Stainless Steel Cooking Pot Set With Steamed Slices"/>
        <s v="Electric LED UV Mosquito Killer Lamp, Outdoor/Indoor Fly Killer Trap Light -USB"/>
        <s v="Artificial Potted Flowers Room Decorative Flowers (2 Pieces)"/>
        <s v="7-piece Set Of Storage Bags, Travel Storage Bags, Shoe Bags"/>
        <s v="TOP 10 PRODUCTS WITH THE HIGHEST DISCOUNTS"/>
        <s v="LASA 3 Tier Bamboo Shoe Bench Storage Shelf"/>
        <s v="32PCS Portable Cordless Drill Set With Cyclic Battery Drive -26 Variable Speed"/>
        <s v="LASA Aluminum Folding Truck Hand Cart - 68kg Max"/>
        <s v="LED Eye Protection  Desk Lamp , Study, Reading, USB Fan - Double Pen Holder"/>
        <s v="LASA FOLDING TABLE SERVING STAND"/>
        <s v="TOP 10 PRODUCTS WITH MOST REVIEWS"/>
        <s v="Balloon Insert, Birthday Party Balloon Set, PU Leather"/>
        <s v="Shower Cap Wide Elastic Band Cover Reusable Bashroom Cap"/>
        <s v="Christmas Elk Fence Yard Lawn Decorations Cute For Holidays"/>
        <s v="60W Hot Melt Glue Sprayer - Efficient And Stable Glue Dispensing"/>
        <s v="Car Phone Charging Stand"/>
      </sharedItems>
    </cacheField>
    <cacheField name="Review" numFmtId="0">
      <sharedItems containsString="0" containsBlank="1" containsNumber="1" containsInteger="1" minValue="-69" maxValue="3750"/>
    </cacheField>
    <cacheField name="Abs_review" numFmtId="0">
      <sharedItems containsBlank="1" containsMixedTypes="1" containsNumber="1" containsInteger="1" minValue="1" maxValue="6143"/>
    </cacheField>
    <cacheField name="Rating" numFmtId="0">
      <sharedItems containsBlank="1" containsMixedTypes="1" containsNumber="1" containsInteger="1" minValue="37" maxValue="2585" count="42">
        <s v="4.5 out of 5"/>
        <s v="4.1 out of 5"/>
        <s v="4.6 out of 5"/>
        <s v="4.7 out of 5"/>
        <s v="4.8 out of 5"/>
        <s v="4 out of 5"/>
        <s v="3.8 out of 5"/>
        <s v="4.2 out of 5"/>
        <s v="5 out of 5"/>
        <s v="3.3 out of 5"/>
        <m/>
        <s v="4.4 out of 5"/>
        <s v="4.3 out of 5"/>
        <s v="2.5 out of 5"/>
        <s v="3 out of 5"/>
        <s v="2.1 out of 5"/>
        <s v="2.8 out of 5"/>
        <s v="2.7 out of 5"/>
        <s v="2.9 out of 5"/>
        <s v="2.2 out of 5"/>
        <s v="2.3 out of 5"/>
        <s v="2.6 out of 5"/>
        <s v="2 out of 5"/>
        <n v="1360"/>
        <n v="1880"/>
        <n v="1721"/>
        <n v="456"/>
        <n v="238"/>
        <n v="450"/>
        <n v="2585"/>
        <n v="1418"/>
        <n v="824"/>
        <n v="846"/>
        <n v="2452"/>
        <n v="2393"/>
        <n v="1946"/>
        <n v="1670"/>
        <n v="1526"/>
        <n v="37"/>
        <n v="1001"/>
        <n v="595"/>
        <n v="645"/>
      </sharedItems>
    </cacheField>
    <cacheField name="Abs_rating" numFmtId="0">
      <sharedItems containsBlank="1" containsMixedTypes="1" containsNumber="1" minValue="1.705855232826187E-2" maxValue="5" count="43">
        <n v="4.5"/>
        <n v="4.0999999999999996"/>
        <n v="4.5999999999999996"/>
        <n v="4.7"/>
        <n v="4.8"/>
        <n v="4"/>
        <n v="3.8"/>
        <n v="4.2"/>
        <n v="5"/>
        <n v="3.3"/>
        <s v=""/>
        <n v="4.4000000000000004"/>
        <n v="4.3"/>
        <n v="2.5"/>
        <n v="3"/>
        <n v="2.1"/>
        <n v="2.8"/>
        <n v="2.7"/>
        <n v="2.9"/>
        <n v="2.2000000000000002"/>
        <n v="2.2999999999999998"/>
        <n v="2.6"/>
        <n v="2"/>
        <m/>
        <n v="0.42236024844720499"/>
        <n v="0.46078431372549017"/>
        <n v="0.38492507269067322"/>
        <n v="0.48979591836734693"/>
        <n v="0.5"/>
        <n v="0.55000000000000004"/>
        <n v="0.4745649263721553"/>
        <n v="0.45424476295479604"/>
        <n v="0.46637265711135611"/>
        <n v="0.54488888888888887"/>
        <n v="0.38954908025394758"/>
        <n v="0.49005288340468395"/>
        <n v="0.47851002865329512"/>
        <n v="0.54500000000000004"/>
        <n v="0.42452830188679247"/>
        <n v="1.705855232826187E-2"/>
        <n v="0.50049999999999994"/>
        <n v="0.33333333333333331"/>
        <n v="0.49012158054711247"/>
      </sharedItems>
    </cacheField>
    <cacheField name="category Rating" numFmtId="0">
      <sharedItems containsBlank="1" containsMixedTypes="1" containsNumber="1" minValue="0.02" maxValue="0.5500000000000000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4.027006828706" createdVersion="8" refreshedVersion="8" minRefreshableVersion="3" recordCount="112" xr:uid="{D9B330EA-67C3-4E88-ACBC-025895B621F3}">
  <cacheSource type="worksheet">
    <worksheetSource ref="A1:L113" sheet="Excel_jumia_dataset assignment "/>
  </cacheSource>
  <cacheFields count="12">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m/>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Christmas Fence Garden Decorations Outdoor For Holiday Home"/>
        <s v="12V 19500rpm Handheld Electric Angle Grinder Tool - UK - Yellow/Black"/>
        <s v="Simple Metal Dog Art Sculpture Decoration For Home Office"/>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Creative Owl Shape Keychain Black"/>
        <s v="Office Chair Lumbar Back Support Spine Posture Correction Pillow Car Cushion"/>
        <s v="Cartoon Car Decoration Cute Individuality For Car Home Desk"/>
        <s v="Outdoor Portable Water Bottle With Medicine Box - 600ML - Black"/>
        <s v="Angle Measuring Tool Full Metal Multi Angle Measuring Tool"/>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2">
      <sharedItems containsSemiMixedTypes="0" containsString="0" containsNumber="1" containsInteger="1" minValue="38" maxValue="3750" count="103">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610"/>
        <n v="2132"/>
        <n v="999"/>
        <n v="1190"/>
        <n v="671"/>
        <n v="1200"/>
        <n v="199"/>
        <n v="299"/>
        <n v="1660"/>
        <n v="1459"/>
        <n v="499"/>
        <n v="699"/>
        <n v="2799"/>
        <n v="399"/>
        <n v="2170"/>
        <n v="458"/>
        <n v="2115"/>
        <n v="445"/>
        <n v="325"/>
        <n v="1220"/>
        <n v="1000"/>
        <n v="3750"/>
        <n v="382"/>
        <n v="2300"/>
        <n v="345"/>
        <n v="509"/>
        <n v="968"/>
        <n v="1570"/>
        <n v="790"/>
        <n v="690"/>
        <n v="1732"/>
        <n v="230"/>
        <n v="1189"/>
        <n v="979"/>
        <n v="1460"/>
        <n v="1666"/>
        <n v="330"/>
        <n v="176"/>
        <n v="1466"/>
        <n v="274"/>
        <n v="657"/>
        <n v="1468"/>
        <n v="630"/>
        <n v="850"/>
        <n v="1300"/>
        <n v="105"/>
        <n v="899"/>
        <n v="1526"/>
        <n v="1462"/>
        <n v="248"/>
        <n v="3546"/>
        <n v="525"/>
        <n v="1080"/>
        <n v="3640"/>
        <n v="1420"/>
        <n v="1875"/>
        <n v="198"/>
        <n v="1150"/>
        <n v="1658"/>
        <n v="1768"/>
        <n v="450"/>
        <n v="169"/>
      </sharedItems>
    </cacheField>
    <cacheField name="old price" numFmtId="2">
      <sharedItems containsSemiMixedTypes="0" containsString="0" containsNumber="1" containsInteger="1" minValue="80" maxValue="6143" count="93">
        <n v="1525"/>
        <n v="999"/>
        <n v="2923"/>
        <n v="2499"/>
        <n v="2356"/>
        <n v="3290"/>
        <n v="3032"/>
        <n v="1580"/>
        <n v="2800"/>
        <n v="2929"/>
        <n v="1500"/>
        <n v="1035"/>
        <n v="860"/>
        <n v="684"/>
        <n v="360"/>
        <n v="3971"/>
        <n v="3699"/>
        <n v="1966"/>
        <n v="80"/>
        <n v="3220"/>
        <n v="1350"/>
        <n v="2150"/>
        <n v="4500"/>
        <n v="647"/>
        <n v="3520"/>
        <n v="1990"/>
        <n v="4080"/>
        <n v="382"/>
        <n v="1490"/>
        <n v="3490"/>
        <n v="2650"/>
        <n v="2699"/>
        <n v="2690"/>
        <n v="656"/>
        <n v="2700"/>
        <n v="4471"/>
        <n v="931"/>
        <n v="476"/>
        <n v="1060"/>
        <n v="2169"/>
        <n v="2000"/>
        <n v="1785"/>
        <n v="1316"/>
        <n v="1950"/>
        <n v="504"/>
        <n v="600"/>
        <n v="1699"/>
        <n v="384"/>
        <n v="1499"/>
        <n v="1343"/>
        <n v="900"/>
        <n v="1567"/>
        <n v="3810"/>
        <n v="896"/>
        <n v="2500"/>
        <n v="986"/>
        <n v="4700"/>
        <n v="873"/>
        <n v="680"/>
        <n v="1555"/>
        <n v="1814"/>
        <n v="6143"/>
        <n v="700"/>
        <n v="3240"/>
        <n v="602"/>
        <n v="899"/>
        <n v="2988"/>
        <n v="1485"/>
        <n v="1200"/>
        <n v="1799"/>
        <n v="450"/>
        <n v="2199"/>
        <n v="1920"/>
        <n v="2290"/>
        <n v="345"/>
        <n v="537"/>
        <n v="1288"/>
        <n v="1100"/>
        <n v="1700"/>
        <n v="200"/>
        <n v="2400"/>
        <n v="1660"/>
        <n v="486"/>
        <n v="1029"/>
        <n v="1874"/>
        <n v="4588"/>
        <n v="2420"/>
        <n v="1899"/>
        <n v="260"/>
        <n v="1737"/>
        <n v="1810"/>
        <n v="553"/>
        <n v="320"/>
      </sharedItems>
    </cacheField>
    <cacheField name="Abs_dicount" numFmtId="2">
      <sharedItems containsSemiMixedTypes="0" containsString="0" containsNumber="1" containsInteger="1" minValue="24" maxValue="2585" count="103">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n v="354"/>
        <n v="151"/>
      </sharedItems>
    </cacheField>
    <cacheField name="Abs_Disc(%)" numFmtId="10">
      <sharedItems containsSemiMixedTypes="0" containsString="0" containsNumber="1" minValue="1.2638230647709321E-2" maxValue="0.64014466546112114" count="105">
        <n v="0.37704918032786883"/>
        <n v="0.47247247247247248"/>
        <n v="0.24769072870338693"/>
        <n v="0.36774709883953582"/>
        <n v="0.26146010186757218"/>
        <n v="8.8449848024316116E-2"/>
        <n v="0.23515831134564644"/>
        <n v="0.37468354430379747"/>
        <n v="0.54500000000000004"/>
        <n v="0.45373847729600547"/>
        <n v="0.20020020020020021"/>
        <n v="0.34"/>
        <n v="0.46666666666666667"/>
        <n v="0.41744186046511628"/>
        <n v="0.32773109243697479"/>
        <n v="0.51461988304093564"/>
        <n v="0.45833333333333331"/>
        <n v="0.49005288340468395"/>
        <n v="0.18924033522573669"/>
        <n v="0.49237029501525942"/>
        <n v="0.52500000000000002"/>
        <n v="0.42236024844720499"/>
        <n v="0.34814814814814815"/>
        <n v="0.23255813953488372"/>
        <n v="0.54488888888888887"/>
        <n v="0.3508500772797527"/>
        <n v="0.18181818181818182"/>
        <n v="0.32160804020100503"/>
        <n v="0.2965186074429772"/>
        <n v="0.46078431372549017"/>
        <n v="0.51570680628272247"/>
        <n v="0.34228187919463088"/>
        <n v="0.47851002865329512"/>
        <n v="0.26792452830188679"/>
        <n v="0.26639496109670247"/>
        <n v="0.39776951672862454"/>
        <n v="0.40701219512195119"/>
        <n v="0.33333333333333331"/>
        <n v="0.38492507269067322"/>
        <n v="0.48979591836734693"/>
        <n v="0.5"/>
        <n v="0.42452830188679247"/>
        <n v="1.705855232826187E-2"/>
        <n v="0.50049999999999994"/>
        <n v="0.49012158054711247"/>
        <n v="0.38461538461538464"/>
        <n v="0.60515873015873012"/>
        <n v="0.50166666666666671"/>
        <n v="2.2954679223072396E-2"/>
        <n v="0.22135416666666666"/>
        <n v="2.6684456304202801E-2"/>
        <n v="0.4050632911392405"/>
        <n v="0.44555555555555554"/>
        <n v="0.47952345495160087"/>
        <n v="0.49010848755583919"/>
        <n v="0.26535433070866143"/>
        <n v="0.5546875"/>
        <n v="0.13200000000000001"/>
        <n v="0.53549695740365111"/>
        <n v="0.55000000000000004"/>
        <n v="0.49026345933562426"/>
        <n v="0.5220588235294118"/>
        <n v="0.21543408360128619"/>
        <n v="0.45424476295479604"/>
        <n v="0.38954908025394758"/>
        <n v="0.45428571428571429"/>
        <n v="0.29012345679012347"/>
        <n v="0.42691029900332228"/>
        <n v="0.43381535038932145"/>
        <n v="0.46637265711135611"/>
        <n v="0.4745649263721553"/>
        <n v="0.46801346801346799"/>
        <n v="0.42499999999999999"/>
        <n v="3.7242912729294052E-2"/>
        <n v="0.48888888888888887"/>
        <n v="0.45929968167348795"/>
        <n v="0.49010416666666667"/>
        <n v="0.36244541484716158"/>
        <n v="1.9423190111830489E-2"/>
        <n v="0.48995363214837712"/>
        <n v="0.48985507246376814"/>
        <n v="0.13713949381989404"/>
        <n v="0.48975791433891991"/>
        <n v="0.11222222222222222"/>
        <n v="0.48990683229813664"/>
        <n v="0.13596233078281342"/>
        <n v="0.42727272727272725"/>
        <n v="0.48"/>
        <n v="0.47499999999999998"/>
        <n v="0.47086521483225424"/>
        <n v="8.0722891566265054E-2"/>
        <n v="2.4683122081387593E-2"/>
        <n v="0.48971193415637859"/>
        <n v="4.1362530413625302E-2"/>
        <n v="0.42369263607257202"/>
        <n v="0.20662598081952921"/>
        <n v="0.41322314049586778"/>
        <n v="1.2638230647709321E-2"/>
        <n v="0.23846153846153847"/>
        <n v="0.3379389752446747"/>
        <n v="0.34254143646408841"/>
        <n v="2.4131842260153032E-2"/>
        <n v="1.7231795441912175E-2"/>
        <n v="0.64014466546112114"/>
        <n v="0.47187499999999999"/>
      </sharedItems>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_category" numFmtId="9">
      <sharedItems count="3">
        <s v="MEDIUM_DISCOUNT"/>
        <s v="HIGH_DISCOUNT"/>
        <s v="LOW_DISCOUNT"/>
      </sharedItems>
    </cacheField>
    <cacheField name="Review" numFmtId="0">
      <sharedItems containsString="0" containsBlank="1" containsNumber="1" containsInteger="1" minValue="-69" maxValue="-1" count="24">
        <n v="-2"/>
        <n v="-14"/>
        <n v="-24"/>
        <n v="-7"/>
        <n v="-5"/>
        <n v="-15"/>
        <n v="-55"/>
        <n v="-12"/>
        <n v="-39"/>
        <n v="-6"/>
        <n v="-9"/>
        <n v="-3"/>
        <n v="-44"/>
        <n v="-13"/>
        <m/>
        <n v="-49"/>
        <n v="-20"/>
        <n v="-32"/>
        <n v="-1"/>
        <n v="-36"/>
        <n v="-10"/>
        <n v="-69"/>
        <n v="-16"/>
        <n v="-17"/>
      </sharedItems>
    </cacheField>
    <cacheField name="Abs_review" numFmtId="0">
      <sharedItems containsMixedTypes="1" containsNumber="1" containsInteger="1" minValue="1" maxValue="69" count="24">
        <n v="2"/>
        <n v="14"/>
        <n v="24"/>
        <n v="7"/>
        <n v="5"/>
        <n v="15"/>
        <n v="55"/>
        <n v="12"/>
        <n v="39"/>
        <n v="6"/>
        <n v="9"/>
        <n v="3"/>
        <n v="44"/>
        <n v="13"/>
        <s v=""/>
        <n v="49"/>
        <n v="20"/>
        <n v="32"/>
        <n v="1"/>
        <n v="36"/>
        <n v="10"/>
        <n v="69"/>
        <n v="16"/>
        <n v="17"/>
      </sharedItems>
    </cacheField>
    <cacheField name="Rating" numFmtId="0">
      <sharedItems containsBlank="1" count="23">
        <s v="4.5 out of 5"/>
        <s v="4.1 out of 5"/>
        <s v="4.6 out of 5"/>
        <s v="4.7 out of 5"/>
        <s v="4.8 out of 5"/>
        <s v="4 out of 5"/>
        <s v="3.8 out of 5"/>
        <s v="4.2 out of 5"/>
        <s v="5 out of 5"/>
        <s v="3.3 out of 5"/>
        <m/>
        <s v="4.4 out of 5"/>
        <s v="4.3 out of 5"/>
        <s v="2.5 out of 5"/>
        <s v="3 out of 5"/>
        <s v="2.1 out of 5"/>
        <s v="2.8 out of 5"/>
        <s v="2.7 out of 5"/>
        <s v="2.9 out of 5"/>
        <s v="2.2 out of 5"/>
        <s v="2.3 out of 5"/>
        <s v="2.6 out of 5"/>
        <s v="2 out of 5"/>
      </sharedItems>
    </cacheField>
    <cacheField name="Abs_rating" numFmtId="0">
      <sharedItems containsMixedTypes="1" containsNumber="1" minValue="2" maxValue="5" count="23">
        <n v="4.5"/>
        <n v="4.0999999999999996"/>
        <n v="4.5999999999999996"/>
        <n v="4.7"/>
        <n v="4.8"/>
        <n v="4"/>
        <n v="3.8"/>
        <n v="4.2"/>
        <n v="5"/>
        <n v="3.3"/>
        <s v=""/>
        <n v="4.4000000000000004"/>
        <n v="4.3"/>
        <n v="2.5"/>
        <n v="3"/>
        <n v="2.1"/>
        <n v="2.8"/>
        <n v="2.7"/>
        <n v="2.9"/>
        <n v="2.2000000000000002"/>
        <n v="2.2999999999999998"/>
        <n v="2.6"/>
        <n v="2"/>
      </sharedItems>
    </cacheField>
    <cacheField name="category Rating" numFmtId="0">
      <sharedItems count="3">
        <s v="EXCELLENT"/>
        <s v="AVERAGE"/>
        <s v="POOR"/>
      </sharedItems>
    </cacheField>
  </cacheFields>
  <extLst>
    <ext xmlns:x14="http://schemas.microsoft.com/office/spreadsheetml/2009/9/main" uri="{725AE2AE-9491-48be-B2B4-4EB974FC3084}">
      <x14:pivotCacheDefinition pivotCacheId="175385852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4.939924305552" createdVersion="8" refreshedVersion="8" minRefreshableVersion="3" recordCount="154" xr:uid="{9FA86E27-127B-461F-B72C-1E30ED277B65}">
  <cacheSource type="worksheet">
    <worksheetSource ref="A1:M1048576" sheet="Excel_jumia_dataset assignment "/>
  </cacheSource>
  <cacheFields count="13">
    <cacheField name="Product" numFmtId="0">
      <sharedItems containsBlank="1" count="122">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m/>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Christmas Fence Garden Decorations Outdoor For Holiday Home"/>
        <s v="12V 19500rpm Handheld Electric Angle Grinder Tool - UK - Yellow/Black"/>
        <s v="Simple Metal Dog Art Sculpture Decoration For Home Office"/>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Creative Owl Shape Keychain Black"/>
        <s v="Office Chair Lumbar Back Support Spine Posture Correction Pillow Car Cushion"/>
        <s v="Cartoon Car Decoration Cute Individuality For Car Home Desk"/>
        <s v="Outdoor Portable Water Bottle With Medicine Box - 600ML - Black"/>
        <s v="Angle Measuring Tool Full Metal Multi Angle Measuring Tool"/>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 v="AVERAGE CURRENT PRICE"/>
        <s v="AVERAGE OLD PRICE"/>
        <s v="AVERAGE DISCOUNT PERCENTAGE"/>
        <s v="AVERAGE RATING"/>
        <s v="AVERAGE DICOUNT"/>
        <s v="AVERAGE REVIEWS"/>
        <s v="HIGHEST PRODUCT PRICE"/>
        <s v="HIGHEST PRODUCT BY PRICE"/>
        <s v="LOWEST PRODUCT PRICE"/>
        <s v="LOWEST PRODUCT BY PRICE"/>
        <s v="PRODUCT COUNT"/>
        <s v="REVIEWS COUNT"/>
      </sharedItems>
    </cacheField>
    <cacheField name="Current price" numFmtId="0">
      <sharedItems containsBlank="1" containsMixedTypes="1" containsNumber="1" minValue="0.36714123251752773" maxValue="3750"/>
    </cacheField>
    <cacheField name="old price" numFmtId="2">
      <sharedItems containsString="0" containsBlank="1" containsNumber="1" containsInteger="1" minValue="80" maxValue="6143"/>
    </cacheField>
    <cacheField name="Abs_dicount" numFmtId="2">
      <sharedItems containsString="0" containsBlank="1" containsNumber="1" containsInteger="1" minValue="24" maxValue="2585"/>
    </cacheField>
    <cacheField name="Abs_Disc(%)" numFmtId="10">
      <sharedItems containsString="0" containsBlank="1" containsNumber="1" minValue="1.2638230647709321E-2" maxValue="0.64014466546112114"/>
    </cacheField>
    <cacheField name="Discount" numFmtId="0">
      <sharedItems containsString="0" containsBlank="1" containsNumber="1" minValue="0.01" maxValue="0.64"/>
    </cacheField>
    <cacheField name="Discount_category" numFmtId="0">
      <sharedItems containsBlank="1" count="4">
        <s v="MEDIUM_DISCOUNT"/>
        <s v="HIGH_DISCOUNT"/>
        <s v="LOW_DISCOUNT"/>
        <m/>
      </sharedItems>
    </cacheField>
    <cacheField name="Review" numFmtId="0">
      <sharedItems containsString="0" containsBlank="1" containsNumber="1" containsInteger="1" minValue="-69" maxValue="-1"/>
    </cacheField>
    <cacheField name="Abs_review" numFmtId="0">
      <sharedItems containsBlank="1" containsMixedTypes="1" containsNumber="1" containsInteger="1" minValue="1" maxValue="69"/>
    </cacheField>
    <cacheField name="Rating" numFmtId="0">
      <sharedItems containsBlank="1"/>
    </cacheField>
    <cacheField name="Abs_rating" numFmtId="0">
      <sharedItems containsBlank="1" containsMixedTypes="1" containsNumber="1" minValue="2" maxValue="5"/>
    </cacheField>
    <cacheField name="category Rating" numFmtId="0">
      <sharedItems containsBlank="1" count="4">
        <s v="EXCELLENT"/>
        <s v="AVERAGE"/>
        <s v="POOR"/>
        <m/>
      </sharedItems>
    </cacheField>
    <cacheField name="PERFORMANCE SCORE" numFmtId="0">
      <sharedItems containsBlank="1" containsMixedTypes="1" containsNumber="1" minValue="1.2250000000000001" maxValue="28.702500000000001" count="58">
        <n v="2.4700000000000002"/>
        <n v="7.1524999999999999"/>
        <n v="11.272500000000001"/>
        <n v="4.5375000000000005"/>
        <n v="3.7449999999999997"/>
        <n v="7.4225000000000003"/>
        <n v="23.669999999999998"/>
        <n v="2.2925"/>
        <n v="3.8174999999999999"/>
        <n v="3.4424999999999999"/>
        <n v="6.2850000000000001"/>
        <n v="17.330000000000002"/>
        <n v="6.5975000000000001"/>
        <n v="4.080000000000001"/>
        <n v="5.1524999999999999"/>
        <n v="2.6774999999999998"/>
        <n v="2.665"/>
        <n v="3.0725000000000002"/>
        <n v="3.6574999999999998"/>
        <n v="19.3325"/>
        <n v="6.4875000000000007"/>
        <s v=""/>
        <n v="3.8875000000000002"/>
        <n v="7.1975000000000007"/>
        <n v="4.4399999999999995"/>
        <n v="21.297499999999999"/>
        <n v="6.1750000000000007"/>
        <n v="6.61"/>
        <n v="9.51"/>
        <n v="5.2350000000000003"/>
        <n v="6.53"/>
        <n v="5.2250000000000005"/>
        <n v="9.7125000000000004"/>
        <n v="14.442500000000001"/>
        <n v="2.25"/>
        <n v="2.6824999999999997"/>
        <n v="16.0075"/>
        <n v="3.3075000000000006"/>
        <n v="5.1849999999999996"/>
        <n v="6.0725000000000007"/>
        <n v="28.702500000000001"/>
        <n v="7.0750000000000002"/>
        <n v="7.47"/>
        <n v="3.2825000000000002"/>
        <n v="3.7300000000000004"/>
        <n v="3.1475"/>
        <n v="7.8225000000000007"/>
        <n v="3.1224999999999996"/>
        <n v="3.3125"/>
        <n v="3.1574999999999998"/>
        <n v="3.2875000000000005"/>
        <n v="3.6525000000000003"/>
        <n v="1.5649999999999997"/>
        <n v="2.2725"/>
        <n v="1.9224999999999999"/>
        <n v="2.2025000000000001"/>
        <n v="1.225000000000000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x v="0"/>
    <x v="0"/>
    <n v="1525"/>
    <n v="575"/>
    <x v="0"/>
    <n v="0.38"/>
    <x v="0"/>
    <n v="-2"/>
    <n v="2"/>
    <x v="0"/>
    <x v="0"/>
    <s v="EXCELLENT"/>
  </r>
  <r>
    <x v="1"/>
    <x v="1"/>
    <n v="999"/>
    <n v="472"/>
    <x v="1"/>
    <n v="0.47"/>
    <x v="1"/>
    <n v="-14"/>
    <n v="14"/>
    <x v="1"/>
    <x v="1"/>
    <s v="AVERAGE"/>
  </r>
  <r>
    <x v="2"/>
    <x v="2"/>
    <n v="2923"/>
    <n v="724"/>
    <x v="2"/>
    <n v="0.25"/>
    <x v="0"/>
    <n v="-24"/>
    <n v="24"/>
    <x v="2"/>
    <x v="2"/>
    <s v="EXCELLENT"/>
  </r>
  <r>
    <x v="3"/>
    <x v="3"/>
    <n v="2499"/>
    <n v="919"/>
    <x v="3"/>
    <n v="0.37"/>
    <x v="0"/>
    <n v="-7"/>
    <n v="7"/>
    <x v="3"/>
    <x v="3"/>
    <s v="EXCELLENT"/>
  </r>
  <r>
    <x v="4"/>
    <x v="4"/>
    <n v="2356"/>
    <n v="616"/>
    <x v="4"/>
    <n v="0.26"/>
    <x v="0"/>
    <n v="-5"/>
    <n v="5"/>
    <x v="4"/>
    <x v="4"/>
    <s v="EXCELLENT"/>
  </r>
  <r>
    <x v="5"/>
    <x v="5"/>
    <n v="3290"/>
    <n v="291"/>
    <x v="5"/>
    <n v="0.09"/>
    <x v="2"/>
    <n v="-15"/>
    <n v="15"/>
    <x v="5"/>
    <x v="5"/>
    <s v="AVERAGE"/>
  </r>
  <r>
    <x v="6"/>
    <x v="6"/>
    <n v="3032"/>
    <n v="713"/>
    <x v="6"/>
    <n v="0.24"/>
    <x v="0"/>
    <n v="-55"/>
    <n v="55"/>
    <x v="2"/>
    <x v="2"/>
    <s v="EXCELLENT"/>
  </r>
  <r>
    <x v="7"/>
    <x v="7"/>
    <n v="1580"/>
    <n v="592"/>
    <x v="7"/>
    <n v="0.37"/>
    <x v="0"/>
    <n v="-2"/>
    <n v="2"/>
    <x v="5"/>
    <x v="5"/>
    <s v="AVERAGE"/>
  </r>
  <r>
    <x v="8"/>
    <x v="8"/>
    <n v="2800"/>
    <n v="1526"/>
    <x v="8"/>
    <n v="0.55000000000000004"/>
    <x v="1"/>
    <n v="-5"/>
    <n v="5"/>
    <x v="4"/>
    <x v="4"/>
    <s v="EXCELLENT"/>
  </r>
  <r>
    <x v="9"/>
    <x v="9"/>
    <n v="2929"/>
    <n v="1329"/>
    <x v="9"/>
    <n v="0.45"/>
    <x v="1"/>
    <n v="-5"/>
    <n v="5"/>
    <x v="6"/>
    <x v="6"/>
    <s v="AVERAGE"/>
  </r>
  <r>
    <x v="10"/>
    <x v="10"/>
    <n v="999"/>
    <n v="200"/>
    <x v="10"/>
    <n v="0.2"/>
    <x v="0"/>
    <n v="-12"/>
    <n v="12"/>
    <x v="1"/>
    <x v="1"/>
    <s v="AVERAGE"/>
  </r>
  <r>
    <x v="11"/>
    <x v="11"/>
    <n v="1500"/>
    <n v="510"/>
    <x v="11"/>
    <n v="0.34"/>
    <x v="0"/>
    <n v="-39"/>
    <n v="39"/>
    <x v="3"/>
    <x v="3"/>
    <s v="EXCELLENT"/>
  </r>
  <r>
    <x v="12"/>
    <x v="12"/>
    <n v="1035"/>
    <n v="483"/>
    <x v="12"/>
    <n v="0.47"/>
    <x v="1"/>
    <n v="-12"/>
    <n v="12"/>
    <x v="4"/>
    <x v="4"/>
    <s v="EXCELLENT"/>
  </r>
  <r>
    <x v="13"/>
    <x v="13"/>
    <n v="860"/>
    <n v="359"/>
    <x v="13"/>
    <n v="0.42"/>
    <x v="1"/>
    <n v="-6"/>
    <n v="6"/>
    <x v="0"/>
    <x v="0"/>
    <s v="EXCELLENT"/>
  </r>
  <r>
    <x v="14"/>
    <x v="14"/>
    <n v="2499"/>
    <n v="819"/>
    <x v="14"/>
    <n v="0.33"/>
    <x v="0"/>
    <n v="-9"/>
    <n v="9"/>
    <x v="7"/>
    <x v="7"/>
    <s v="AVERAGE"/>
  </r>
  <r>
    <x v="15"/>
    <x v="15"/>
    <n v="684"/>
    <n v="352"/>
    <x v="15"/>
    <n v="0.51"/>
    <x v="1"/>
    <n v="-2"/>
    <n v="2"/>
    <x v="8"/>
    <x v="8"/>
    <s v="EXCELLENT"/>
  </r>
  <r>
    <x v="16"/>
    <x v="16"/>
    <n v="360"/>
    <n v="165"/>
    <x v="16"/>
    <n v="0.46"/>
    <x v="1"/>
    <n v="-2"/>
    <n v="2"/>
    <x v="8"/>
    <x v="8"/>
    <s v="EXCELLENT"/>
  </r>
  <r>
    <x v="17"/>
    <x v="17"/>
    <n v="3971"/>
    <n v="1946"/>
    <x v="17"/>
    <n v="0.49"/>
    <x v="1"/>
    <n v="-3"/>
    <n v="3"/>
    <x v="8"/>
    <x v="8"/>
    <s v="EXCELLENT"/>
  </r>
  <r>
    <x v="18"/>
    <x v="5"/>
    <n v="3699"/>
    <n v="700"/>
    <x v="18"/>
    <n v="0.19"/>
    <x v="2"/>
    <n v="-5"/>
    <n v="5"/>
    <x v="2"/>
    <x v="2"/>
    <s v="EXCELLENT"/>
  </r>
  <r>
    <x v="19"/>
    <x v="18"/>
    <n v="1966"/>
    <n v="968"/>
    <x v="19"/>
    <n v="0.49"/>
    <x v="1"/>
    <n v="-44"/>
    <n v="44"/>
    <x v="2"/>
    <x v="2"/>
    <s v="EXCELLENT"/>
  </r>
  <r>
    <x v="20"/>
    <x v="19"/>
    <n v="80"/>
    <n v="42"/>
    <x v="20"/>
    <n v="0.53"/>
    <x v="1"/>
    <n v="-13"/>
    <n v="13"/>
    <x v="9"/>
    <x v="9"/>
    <s v="AVERAGE"/>
  </r>
  <r>
    <x v="21"/>
    <x v="20"/>
    <n v="3220"/>
    <n v="1360"/>
    <x v="21"/>
    <n v="0.42"/>
    <x v="1"/>
    <m/>
    <s v=""/>
    <x v="10"/>
    <x v="10"/>
    <s v="EXCELLENT"/>
  </r>
  <r>
    <x v="22"/>
    <x v="21"/>
    <n v="1350"/>
    <n v="470"/>
    <x v="22"/>
    <n v="0.35"/>
    <x v="0"/>
    <n v="-6"/>
    <n v="6"/>
    <x v="5"/>
    <x v="5"/>
    <s v="AVERAGE"/>
  </r>
  <r>
    <x v="23"/>
    <x v="22"/>
    <n v="2150"/>
    <n v="500"/>
    <x v="23"/>
    <n v="0.23"/>
    <x v="0"/>
    <n v="-14"/>
    <n v="14"/>
    <x v="11"/>
    <x v="11"/>
    <s v="AVERAGE"/>
  </r>
  <r>
    <x v="24"/>
    <x v="23"/>
    <n v="4500"/>
    <n v="2452"/>
    <x v="24"/>
    <n v="0.54"/>
    <x v="1"/>
    <n v="-7"/>
    <n v="7"/>
    <x v="12"/>
    <x v="12"/>
    <s v="AVERAGE"/>
  </r>
  <r>
    <x v="25"/>
    <x v="24"/>
    <n v="647"/>
    <n v="227"/>
    <x v="25"/>
    <n v="0.35"/>
    <x v="0"/>
    <n v="-49"/>
    <n v="49"/>
    <x v="2"/>
    <x v="2"/>
    <s v="EXCELLENT"/>
  </r>
  <r>
    <x v="26"/>
    <x v="25"/>
    <n v="3520"/>
    <n v="640"/>
    <x v="26"/>
    <n v="0.18"/>
    <x v="2"/>
    <n v="-12"/>
    <n v="12"/>
    <x v="6"/>
    <x v="6"/>
    <s v="AVERAGE"/>
  </r>
  <r>
    <x v="27"/>
    <x v="26"/>
    <n v="1990"/>
    <n v="640"/>
    <x v="27"/>
    <n v="0.32"/>
    <x v="0"/>
    <n v="-13"/>
    <n v="13"/>
    <x v="6"/>
    <x v="6"/>
    <s v="AVERAGE"/>
  </r>
  <r>
    <x v="28"/>
    <x v="27"/>
    <n v="2499"/>
    <n v="741"/>
    <x v="28"/>
    <n v="0.3"/>
    <x v="0"/>
    <n v="-20"/>
    <n v="20"/>
    <x v="1"/>
    <x v="1"/>
    <s v="AVERAGE"/>
  </r>
  <r>
    <x v="29"/>
    <x v="28"/>
    <n v="4080"/>
    <n v="1880"/>
    <x v="29"/>
    <n v="0.46"/>
    <x v="1"/>
    <m/>
    <s v=""/>
    <x v="10"/>
    <x v="10"/>
    <s v="EXCELLENT"/>
  </r>
  <r>
    <x v="30"/>
    <x v="29"/>
    <n v="382"/>
    <n v="197"/>
    <x v="30"/>
    <n v="0.52"/>
    <x v="1"/>
    <n v="-9"/>
    <n v="9"/>
    <x v="12"/>
    <x v="12"/>
    <s v="AVERAGE"/>
  </r>
  <r>
    <x v="31"/>
    <x v="30"/>
    <n v="1490"/>
    <n v="510"/>
    <x v="31"/>
    <n v="0.34"/>
    <x v="0"/>
    <n v="-12"/>
    <n v="12"/>
    <x v="3"/>
    <x v="3"/>
    <s v="EXCELLENT"/>
  </r>
  <r>
    <x v="32"/>
    <x v="31"/>
    <n v="3490"/>
    <n v="1670"/>
    <x v="32"/>
    <n v="0.48"/>
    <x v="1"/>
    <n v="-9"/>
    <n v="9"/>
    <x v="12"/>
    <x v="12"/>
    <s v="AVERAGE"/>
  </r>
  <r>
    <x v="33"/>
    <x v="32"/>
    <n v="2650"/>
    <n v="710"/>
    <x v="33"/>
    <n v="0.27"/>
    <x v="0"/>
    <n v="-20"/>
    <n v="20"/>
    <x v="3"/>
    <x v="3"/>
    <s v="EXCELLENT"/>
  </r>
  <r>
    <x v="34"/>
    <x v="33"/>
    <n v="2699"/>
    <n v="719"/>
    <x v="34"/>
    <n v="0.27"/>
    <x v="0"/>
    <n v="-32"/>
    <n v="32"/>
    <x v="0"/>
    <x v="0"/>
    <s v="EXCELLENT"/>
  </r>
  <r>
    <x v="35"/>
    <x v="34"/>
    <n v="2690"/>
    <n v="1070"/>
    <x v="35"/>
    <n v="0.4"/>
    <x v="1"/>
    <n v="-1"/>
    <n v="1"/>
    <x v="8"/>
    <x v="8"/>
    <s v="EXCELLENT"/>
  </r>
  <r>
    <x v="36"/>
    <x v="35"/>
    <n v="360"/>
    <n v="189"/>
    <x v="20"/>
    <n v="0.53"/>
    <x v="1"/>
    <n v="-2"/>
    <n v="2"/>
    <x v="8"/>
    <x v="8"/>
    <s v="EXCELLENT"/>
  </r>
  <r>
    <x v="37"/>
    <x v="36"/>
    <n v="656"/>
    <n v="267"/>
    <x v="36"/>
    <n v="0.41"/>
    <x v="1"/>
    <n v="-36"/>
    <n v="36"/>
    <x v="12"/>
    <x v="12"/>
    <s v="AVERAGE"/>
  </r>
  <r>
    <x v="38"/>
    <x v="37"/>
    <n v="2700"/>
    <n v="900"/>
    <x v="37"/>
    <n v="0.38"/>
    <x v="0"/>
    <n v="-2"/>
    <n v="2"/>
    <x v="0"/>
    <x v="0"/>
    <s v="EXCELLENT"/>
  </r>
  <r>
    <x v="39"/>
    <x v="38"/>
    <n v="4471"/>
    <n v="1721"/>
    <x v="38"/>
    <n v="0.38"/>
    <x v="0"/>
    <m/>
    <s v=""/>
    <x v="10"/>
    <x v="10"/>
    <s v="EXCELLENT"/>
  </r>
  <r>
    <x v="40"/>
    <x v="39"/>
    <n v="931"/>
    <n v="456"/>
    <x v="39"/>
    <n v="0.49"/>
    <x v="1"/>
    <m/>
    <s v=""/>
    <x v="10"/>
    <x v="10"/>
    <s v="EXCELLENT"/>
  </r>
  <r>
    <x v="41"/>
    <x v="40"/>
    <n v="476"/>
    <n v="238"/>
    <x v="40"/>
    <n v="0.5"/>
    <x v="1"/>
    <m/>
    <s v=""/>
    <x v="10"/>
    <x v="10"/>
    <s v="EXCELLENT"/>
  </r>
  <r>
    <x v="42"/>
    <x v="41"/>
    <n v="1060"/>
    <n v="450"/>
    <x v="41"/>
    <n v="0.42"/>
    <x v="1"/>
    <m/>
    <s v=""/>
    <x v="10"/>
    <x v="10"/>
    <s v="EXCELLENT"/>
  </r>
  <r>
    <x v="43"/>
    <x v="42"/>
    <n v="2169"/>
    <n v="37"/>
    <x v="42"/>
    <n v="0.02"/>
    <x v="2"/>
    <m/>
    <s v=""/>
    <x v="10"/>
    <x v="10"/>
    <s v="EXCELLENT"/>
  </r>
  <r>
    <x v="44"/>
    <x v="43"/>
    <n v="2000"/>
    <n v="1001"/>
    <x v="43"/>
    <n v="0.5"/>
    <x v="1"/>
    <m/>
    <s v=""/>
    <x v="10"/>
    <x v="10"/>
    <s v="EXCELLENT"/>
  </r>
  <r>
    <x v="45"/>
    <x v="44"/>
    <n v="1785"/>
    <n v="595"/>
    <x v="37"/>
    <n v="0.33"/>
    <x v="0"/>
    <m/>
    <s v=""/>
    <x v="10"/>
    <x v="10"/>
    <s v="EXCELLENT"/>
  </r>
  <r>
    <x v="46"/>
    <x v="45"/>
    <n v="1316"/>
    <n v="645"/>
    <x v="44"/>
    <n v="0.49"/>
    <x v="1"/>
    <m/>
    <s v=""/>
    <x v="10"/>
    <x v="10"/>
    <s v="EXCELLENT"/>
  </r>
  <r>
    <x v="47"/>
    <x v="46"/>
    <n v="1950"/>
    <n v="750"/>
    <x v="45"/>
    <n v="0.38"/>
    <x v="0"/>
    <m/>
    <s v=""/>
    <x v="10"/>
    <x v="10"/>
    <s v="EXCELLENT"/>
  </r>
  <r>
    <x v="48"/>
    <x v="47"/>
    <n v="504"/>
    <n v="305"/>
    <x v="46"/>
    <n v="0.61"/>
    <x v="1"/>
    <m/>
    <s v=""/>
    <x v="10"/>
    <x v="10"/>
    <s v="EXCELLENT"/>
  </r>
  <r>
    <x v="49"/>
    <x v="48"/>
    <n v="600"/>
    <n v="301"/>
    <x v="47"/>
    <n v="0.5"/>
    <x v="1"/>
    <m/>
    <s v=""/>
    <x v="10"/>
    <x v="10"/>
    <s v="EXCELLENT"/>
  </r>
  <r>
    <x v="50"/>
    <x v="49"/>
    <n v="1699"/>
    <n v="39"/>
    <x v="48"/>
    <n v="0.02"/>
    <x v="2"/>
    <m/>
    <s v=""/>
    <x v="10"/>
    <x v="10"/>
    <s v="EXCELLENT"/>
  </r>
  <r>
    <x v="51"/>
    <x v="48"/>
    <n v="384"/>
    <n v="85"/>
    <x v="49"/>
    <n v="0.22"/>
    <x v="0"/>
    <m/>
    <s v=""/>
    <x v="10"/>
    <x v="10"/>
    <s v="EXCELLENT"/>
  </r>
  <r>
    <x v="52"/>
    <x v="50"/>
    <n v="1499"/>
    <n v="40"/>
    <x v="50"/>
    <n v="0.03"/>
    <x v="2"/>
    <m/>
    <s v=""/>
    <x v="10"/>
    <x v="10"/>
    <s v="EXCELLENT"/>
  </r>
  <r>
    <x v="53"/>
    <x v="10"/>
    <n v="1343"/>
    <n v="544"/>
    <x v="51"/>
    <n v="0.41"/>
    <x v="1"/>
    <m/>
    <s v=""/>
    <x v="10"/>
    <x v="10"/>
    <s v="EXCELLENT"/>
  </r>
  <r>
    <x v="48"/>
    <x v="51"/>
    <n v="900"/>
    <n v="401"/>
    <x v="52"/>
    <n v="0.45"/>
    <x v="1"/>
    <m/>
    <s v=""/>
    <x v="10"/>
    <x v="10"/>
    <s v="EXCELLENT"/>
  </r>
  <r>
    <x v="54"/>
    <x v="52"/>
    <n v="1343"/>
    <n v="644"/>
    <x v="53"/>
    <n v="0.48"/>
    <x v="1"/>
    <m/>
    <s v=""/>
    <x v="10"/>
    <x v="10"/>
    <s v="EXCELLENT"/>
  </r>
  <r>
    <x v="48"/>
    <x v="10"/>
    <n v="1567"/>
    <n v="768"/>
    <x v="54"/>
    <n v="0.49"/>
    <x v="1"/>
    <m/>
    <s v=""/>
    <x v="10"/>
    <x v="10"/>
    <s v="EXCELLENT"/>
  </r>
  <r>
    <x v="55"/>
    <x v="53"/>
    <n v="3810"/>
    <n v="1011"/>
    <x v="55"/>
    <n v="0.27"/>
    <x v="0"/>
    <m/>
    <s v=""/>
    <x v="10"/>
    <x v="10"/>
    <s v="EXCELLENT"/>
  </r>
  <r>
    <x v="56"/>
    <x v="54"/>
    <n v="896"/>
    <n v="497"/>
    <x v="56"/>
    <n v="0.55000000000000004"/>
    <x v="1"/>
    <m/>
    <s v=""/>
    <x v="10"/>
    <x v="10"/>
    <s v="EXCELLENT"/>
  </r>
  <r>
    <x v="57"/>
    <x v="55"/>
    <n v="2500"/>
    <n v="330"/>
    <x v="57"/>
    <n v="0.13"/>
    <x v="2"/>
    <n v="-6"/>
    <n v="6"/>
    <x v="13"/>
    <x v="13"/>
    <s v="POOR"/>
  </r>
  <r>
    <x v="58"/>
    <x v="56"/>
    <n v="986"/>
    <n v="528"/>
    <x v="58"/>
    <n v="0.54"/>
    <x v="1"/>
    <n v="-10"/>
    <n v="10"/>
    <x v="14"/>
    <x v="14"/>
    <s v="AVERAGE"/>
  </r>
  <r>
    <x v="59"/>
    <x v="57"/>
    <n v="4700"/>
    <n v="2585"/>
    <x v="59"/>
    <n v="0.55000000000000004"/>
    <x v="1"/>
    <n v="-13"/>
    <n v="13"/>
    <x v="15"/>
    <x v="15"/>
    <s v="POOR"/>
  </r>
  <r>
    <x v="60"/>
    <x v="58"/>
    <n v="873"/>
    <n v="428"/>
    <x v="60"/>
    <n v="0.49"/>
    <x v="1"/>
    <n v="-69"/>
    <n v="69"/>
    <x v="16"/>
    <x v="16"/>
    <s v="POOR"/>
  </r>
  <r>
    <x v="61"/>
    <x v="59"/>
    <n v="680"/>
    <n v="355"/>
    <x v="61"/>
    <n v="0.52"/>
    <x v="1"/>
    <n v="-15"/>
    <n v="15"/>
    <x v="17"/>
    <x v="17"/>
    <s v="POOR"/>
  </r>
  <r>
    <x v="62"/>
    <x v="60"/>
    <n v="1555"/>
    <n v="335"/>
    <x v="62"/>
    <n v="0.22"/>
    <x v="0"/>
    <n v="-16"/>
    <n v="16"/>
    <x v="18"/>
    <x v="18"/>
    <s v="POOR"/>
  </r>
  <r>
    <x v="63"/>
    <x v="11"/>
    <n v="1814"/>
    <n v="824"/>
    <x v="63"/>
    <n v="0.45"/>
    <x v="1"/>
    <n v="-6"/>
    <n v="6"/>
    <x v="19"/>
    <x v="19"/>
    <s v="POOR"/>
  </r>
  <r>
    <x v="64"/>
    <x v="61"/>
    <n v="2000"/>
    <n v="1000"/>
    <x v="40"/>
    <n v="0.5"/>
    <x v="1"/>
    <n v="-7"/>
    <n v="7"/>
    <x v="20"/>
    <x v="20"/>
    <s v="POOR"/>
  </r>
  <r>
    <x v="65"/>
    <x v="62"/>
    <n v="6143"/>
    <n v="2393"/>
    <x v="64"/>
    <n v="0.39"/>
    <x v="0"/>
    <n v="-5"/>
    <n v="5"/>
    <x v="14"/>
    <x v="14"/>
    <s v="AVERAGE"/>
  </r>
  <r>
    <x v="66"/>
    <x v="63"/>
    <n v="700"/>
    <n v="318"/>
    <x v="65"/>
    <n v="0.45"/>
    <x v="1"/>
    <n v="-17"/>
    <n v="17"/>
    <x v="21"/>
    <x v="21"/>
    <s v="POOR"/>
  </r>
  <r>
    <x v="67"/>
    <x v="64"/>
    <n v="3240"/>
    <n v="940"/>
    <x v="66"/>
    <n v="0.28999999999999998"/>
    <x v="0"/>
    <n v="-5"/>
    <n v="5"/>
    <x v="14"/>
    <x v="14"/>
    <s v="AVERAGE"/>
  </r>
  <r>
    <x v="68"/>
    <x v="65"/>
    <n v="602"/>
    <n v="257"/>
    <x v="67"/>
    <n v="0.43"/>
    <x v="1"/>
    <n v="-6"/>
    <n v="6"/>
    <x v="20"/>
    <x v="20"/>
    <s v="POOR"/>
  </r>
  <r>
    <x v="69"/>
    <x v="66"/>
    <n v="899"/>
    <n v="390"/>
    <x v="68"/>
    <n v="0.43"/>
    <x v="1"/>
    <n v="-5"/>
    <n v="5"/>
    <x v="14"/>
    <x v="14"/>
    <s v="AVERAGE"/>
  </r>
  <r>
    <x v="70"/>
    <x v="67"/>
    <n v="1814"/>
    <n v="846"/>
    <x v="69"/>
    <n v="0.47"/>
    <x v="1"/>
    <n v="-6"/>
    <n v="6"/>
    <x v="19"/>
    <x v="19"/>
    <s v="POOR"/>
  </r>
  <r>
    <x v="71"/>
    <x v="68"/>
    <n v="2988"/>
    <n v="1418"/>
    <x v="70"/>
    <n v="0.47"/>
    <x v="1"/>
    <n v="-7"/>
    <n v="7"/>
    <x v="15"/>
    <x v="15"/>
    <s v="POOR"/>
  </r>
  <r>
    <x v="72"/>
    <x v="69"/>
    <n v="1485"/>
    <n v="695"/>
    <x v="71"/>
    <n v="0.47"/>
    <x v="1"/>
    <m/>
    <s v=""/>
    <x v="10"/>
    <x v="10"/>
    <s v="EXCELLENT"/>
  </r>
  <r>
    <x v="73"/>
    <x v="70"/>
    <n v="1200"/>
    <n v="510"/>
    <x v="72"/>
    <n v="0.43"/>
    <x v="1"/>
    <m/>
    <s v=""/>
    <x v="10"/>
    <x v="10"/>
    <s v="EXCELLENT"/>
  </r>
  <r>
    <x v="74"/>
    <x v="71"/>
    <n v="1799"/>
    <n v="67"/>
    <x v="73"/>
    <n v="0.04"/>
    <x v="2"/>
    <m/>
    <s v=""/>
    <x v="10"/>
    <x v="10"/>
    <s v="EXCELLENT"/>
  </r>
  <r>
    <x v="75"/>
    <x v="72"/>
    <n v="450"/>
    <n v="220"/>
    <x v="74"/>
    <n v="0.49"/>
    <x v="1"/>
    <m/>
    <s v=""/>
    <x v="10"/>
    <x v="10"/>
    <s v="EXCELLENT"/>
  </r>
  <r>
    <x v="76"/>
    <x v="73"/>
    <n v="2199"/>
    <n v="1010"/>
    <x v="75"/>
    <n v="0.46"/>
    <x v="1"/>
    <n v="-1"/>
    <n v="1"/>
    <x v="14"/>
    <x v="14"/>
    <s v="AVERAGE"/>
  </r>
  <r>
    <x v="77"/>
    <x v="74"/>
    <n v="1920"/>
    <n v="941"/>
    <x v="76"/>
    <n v="0.49"/>
    <x v="1"/>
    <n v="-1"/>
    <n v="1"/>
    <x v="8"/>
    <x v="8"/>
    <s v="EXCELLENT"/>
  </r>
  <r>
    <x v="78"/>
    <x v="75"/>
    <n v="2290"/>
    <n v="830"/>
    <x v="77"/>
    <n v="0.36"/>
    <x v="0"/>
    <m/>
    <s v=""/>
    <x v="10"/>
    <x v="10"/>
    <s v="EXCELLENT"/>
  </r>
  <r>
    <x v="79"/>
    <x v="76"/>
    <n v="1699"/>
    <n v="33"/>
    <x v="78"/>
    <n v="0.02"/>
    <x v="2"/>
    <m/>
    <s v=""/>
    <x v="10"/>
    <x v="10"/>
    <s v="EXCELLENT"/>
  </r>
  <r>
    <x v="80"/>
    <x v="77"/>
    <n v="647"/>
    <n v="317"/>
    <x v="79"/>
    <n v="0.49"/>
    <x v="1"/>
    <n v="-1"/>
    <n v="1"/>
    <x v="5"/>
    <x v="5"/>
    <s v="AVERAGE"/>
  </r>
  <r>
    <x v="81"/>
    <x v="78"/>
    <n v="345"/>
    <n v="169"/>
    <x v="80"/>
    <n v="0.49"/>
    <x v="1"/>
    <m/>
    <s v=""/>
    <x v="10"/>
    <x v="10"/>
    <s v="EXCELLENT"/>
  </r>
  <r>
    <x v="82"/>
    <x v="79"/>
    <n v="1699"/>
    <n v="233"/>
    <x v="81"/>
    <n v="0.14000000000000001"/>
    <x v="2"/>
    <m/>
    <s v=""/>
    <x v="10"/>
    <x v="10"/>
    <s v="EXCELLENT"/>
  </r>
  <r>
    <x v="83"/>
    <x v="80"/>
    <n v="537"/>
    <n v="263"/>
    <x v="82"/>
    <n v="0.49"/>
    <x v="1"/>
    <m/>
    <s v=""/>
    <x v="10"/>
    <x v="10"/>
    <s v="EXCELLENT"/>
  </r>
  <r>
    <x v="84"/>
    <x v="10"/>
    <n v="900"/>
    <n v="101"/>
    <x v="83"/>
    <n v="0.11"/>
    <x v="2"/>
    <m/>
    <s v=""/>
    <x v="10"/>
    <x v="10"/>
    <s v="EXCELLENT"/>
  </r>
  <r>
    <x v="85"/>
    <x v="81"/>
    <n v="1288"/>
    <n v="631"/>
    <x v="84"/>
    <n v="0.49"/>
    <x v="1"/>
    <m/>
    <s v=""/>
    <x v="10"/>
    <x v="10"/>
    <s v="EXCELLENT"/>
  </r>
  <r>
    <x v="86"/>
    <x v="82"/>
    <n v="1699"/>
    <n v="231"/>
    <x v="85"/>
    <n v="0.14000000000000001"/>
    <x v="2"/>
    <m/>
    <s v=""/>
    <x v="10"/>
    <x v="10"/>
    <s v="EXCELLENT"/>
  </r>
  <r>
    <x v="87"/>
    <x v="83"/>
    <n v="1100"/>
    <n v="470"/>
    <x v="86"/>
    <n v="0.43"/>
    <x v="1"/>
    <m/>
    <s v=""/>
    <x v="10"/>
    <x v="10"/>
    <s v="EXCELLENT"/>
  </r>
  <r>
    <x v="88"/>
    <x v="84"/>
    <n v="1700"/>
    <n v="850"/>
    <x v="40"/>
    <n v="0.5"/>
    <x v="1"/>
    <m/>
    <s v=""/>
    <x v="10"/>
    <x v="10"/>
    <s v="EXCELLENT"/>
  </r>
  <r>
    <x v="89"/>
    <x v="85"/>
    <n v="2500"/>
    <n v="1200"/>
    <x v="87"/>
    <n v="0.48"/>
    <x v="1"/>
    <m/>
    <s v=""/>
    <x v="10"/>
    <x v="10"/>
    <s v="EXCELLENT"/>
  </r>
  <r>
    <x v="90"/>
    <x v="86"/>
    <n v="200"/>
    <n v="95"/>
    <x v="88"/>
    <n v="0.48"/>
    <x v="1"/>
    <m/>
    <s v=""/>
    <x v="10"/>
    <x v="10"/>
    <s v="EXCELLENT"/>
  </r>
  <r>
    <x v="91"/>
    <x v="87"/>
    <n v="1699"/>
    <n v="800"/>
    <x v="89"/>
    <n v="0.47"/>
    <x v="1"/>
    <m/>
    <s v=""/>
    <x v="10"/>
    <x v="10"/>
    <s v="EXCELLENT"/>
  </r>
  <r>
    <x v="92"/>
    <x v="46"/>
    <n v="2400"/>
    <n v="1200"/>
    <x v="40"/>
    <n v="0.5"/>
    <x v="1"/>
    <m/>
    <s v=""/>
    <x v="10"/>
    <x v="10"/>
    <s v="EXCELLENT"/>
  </r>
  <r>
    <x v="93"/>
    <x v="88"/>
    <n v="1660"/>
    <n v="134"/>
    <x v="90"/>
    <n v="0.08"/>
    <x v="2"/>
    <m/>
    <s v=""/>
    <x v="10"/>
    <x v="10"/>
    <s v="EXCELLENT"/>
  </r>
  <r>
    <x v="94"/>
    <x v="89"/>
    <n v="1499"/>
    <n v="37"/>
    <x v="91"/>
    <n v="0.02"/>
    <x v="2"/>
    <m/>
    <s v=""/>
    <x v="10"/>
    <x v="10"/>
    <s v="EXCELLENT"/>
  </r>
  <r>
    <x v="95"/>
    <x v="90"/>
    <n v="486"/>
    <n v="238"/>
    <x v="92"/>
    <n v="0.49"/>
    <x v="1"/>
    <m/>
    <s v=""/>
    <x v="10"/>
    <x v="10"/>
    <s v="EXCELLENT"/>
  </r>
  <r>
    <x v="96"/>
    <x v="91"/>
    <n v="3699"/>
    <n v="153"/>
    <x v="93"/>
    <n v="0.04"/>
    <x v="2"/>
    <m/>
    <s v=""/>
    <x v="10"/>
    <x v="10"/>
    <s v="EXCELLENT"/>
  </r>
  <r>
    <x v="97"/>
    <x v="92"/>
    <n v="1029"/>
    <n v="504"/>
    <x v="39"/>
    <n v="0.49"/>
    <x v="1"/>
    <m/>
    <s v=""/>
    <x v="10"/>
    <x v="10"/>
    <s v="EXCELLENT"/>
  </r>
  <r>
    <x v="98"/>
    <x v="93"/>
    <n v="1874"/>
    <n v="794"/>
    <x v="94"/>
    <n v="0.42"/>
    <x v="1"/>
    <m/>
    <s v=""/>
    <x v="10"/>
    <x v="10"/>
    <s v="EXCELLENT"/>
  </r>
  <r>
    <x v="99"/>
    <x v="94"/>
    <n v="4588"/>
    <n v="948"/>
    <x v="95"/>
    <n v="0.21"/>
    <x v="0"/>
    <n v="-1"/>
    <n v="1"/>
    <x v="8"/>
    <x v="8"/>
    <s v="EXCELLENT"/>
  </r>
  <r>
    <x v="100"/>
    <x v="95"/>
    <n v="2420"/>
    <n v="1000"/>
    <x v="96"/>
    <n v="0.41"/>
    <x v="1"/>
    <m/>
    <s v=""/>
    <x v="10"/>
    <x v="10"/>
    <s v="EXCELLENT"/>
  </r>
  <r>
    <x v="101"/>
    <x v="96"/>
    <n v="1899"/>
    <n v="24"/>
    <x v="97"/>
    <n v="0.01"/>
    <x v="2"/>
    <m/>
    <s v=""/>
    <x v="10"/>
    <x v="10"/>
    <s v="EXCELLENT"/>
  </r>
  <r>
    <x v="102"/>
    <x v="97"/>
    <n v="260"/>
    <n v="62"/>
    <x v="98"/>
    <n v="0.24"/>
    <x v="0"/>
    <m/>
    <s v=""/>
    <x v="10"/>
    <x v="10"/>
    <s v="EXCELLENT"/>
  </r>
  <r>
    <x v="103"/>
    <x v="98"/>
    <n v="1737"/>
    <n v="587"/>
    <x v="99"/>
    <n v="0.34"/>
    <x v="0"/>
    <m/>
    <s v=""/>
    <x v="10"/>
    <x v="10"/>
    <s v="EXCELLENT"/>
  </r>
  <r>
    <x v="104"/>
    <x v="44"/>
    <n v="1810"/>
    <n v="620"/>
    <x v="100"/>
    <n v="0.34"/>
    <x v="0"/>
    <m/>
    <s v=""/>
    <x v="10"/>
    <x v="10"/>
    <s v="EXCELLENT"/>
  </r>
  <r>
    <x v="105"/>
    <x v="99"/>
    <n v="1699"/>
    <n v="41"/>
    <x v="101"/>
    <n v="0.02"/>
    <x v="2"/>
    <m/>
    <s v=""/>
    <x v="10"/>
    <x v="10"/>
    <s v="EXCELLENT"/>
  </r>
  <r>
    <x v="106"/>
    <x v="100"/>
    <n v="1799"/>
    <n v="31"/>
    <x v="102"/>
    <n v="0.02"/>
    <x v="2"/>
    <m/>
    <s v=""/>
    <x v="10"/>
    <x v="10"/>
    <s v="EXCELLENT"/>
  </r>
  <r>
    <x v="107"/>
    <x v="47"/>
    <n v="553"/>
    <n v="354"/>
    <x v="103"/>
    <n v="0.64"/>
    <x v="1"/>
    <m/>
    <s v=""/>
    <x v="10"/>
    <x v="10"/>
    <s v="EXCELLENT"/>
  </r>
  <r>
    <x v="108"/>
    <x v="101"/>
    <n v="900"/>
    <n v="450"/>
    <x v="40"/>
    <n v="0.5"/>
    <x v="1"/>
    <n v="-1"/>
    <n v="1"/>
    <x v="22"/>
    <x v="22"/>
    <s v="POOR"/>
  </r>
  <r>
    <x v="109"/>
    <x v="102"/>
    <n v="320"/>
    <n v="151"/>
    <x v="104"/>
    <n v="0.47"/>
    <x v="1"/>
    <m/>
    <s v=""/>
    <x v="10"/>
    <x v="10"/>
    <s v="EXCELLENT"/>
  </r>
  <r>
    <x v="48"/>
    <x v="103"/>
    <m/>
    <m/>
    <x v="105"/>
    <m/>
    <x v="3"/>
    <m/>
    <m/>
    <x v="10"/>
    <x v="23"/>
    <m/>
  </r>
  <r>
    <x v="48"/>
    <x v="103"/>
    <m/>
    <m/>
    <x v="105"/>
    <m/>
    <x v="3"/>
    <m/>
    <m/>
    <x v="10"/>
    <x v="23"/>
    <m/>
  </r>
  <r>
    <x v="48"/>
    <x v="103"/>
    <m/>
    <m/>
    <x v="105"/>
    <m/>
    <x v="3"/>
    <m/>
    <m/>
    <x v="10"/>
    <x v="23"/>
    <m/>
  </r>
  <r>
    <x v="48"/>
    <x v="103"/>
    <m/>
    <m/>
    <x v="105"/>
    <m/>
    <x v="3"/>
    <m/>
    <m/>
    <x v="10"/>
    <x v="23"/>
    <m/>
  </r>
  <r>
    <x v="48"/>
    <x v="103"/>
    <m/>
    <m/>
    <x v="105"/>
    <m/>
    <x v="4"/>
    <m/>
    <m/>
    <x v="10"/>
    <x v="23"/>
    <m/>
  </r>
  <r>
    <x v="48"/>
    <x v="103"/>
    <m/>
    <m/>
    <x v="105"/>
    <m/>
    <x v="5"/>
    <n v="1860"/>
    <n v="3220"/>
    <x v="23"/>
    <x v="24"/>
    <n v="0.42"/>
  </r>
  <r>
    <x v="110"/>
    <x v="104"/>
    <m/>
    <m/>
    <x v="105"/>
    <m/>
    <x v="6"/>
    <n v="2200"/>
    <n v="4080"/>
    <x v="24"/>
    <x v="25"/>
    <n v="0.46"/>
  </r>
  <r>
    <x v="111"/>
    <x v="105"/>
    <m/>
    <m/>
    <x v="105"/>
    <m/>
    <x v="7"/>
    <n v="2750"/>
    <n v="4471"/>
    <x v="25"/>
    <x v="26"/>
    <n v="0.38"/>
  </r>
  <r>
    <x v="112"/>
    <x v="106"/>
    <m/>
    <m/>
    <x v="105"/>
    <m/>
    <x v="8"/>
    <n v="475"/>
    <n v="931"/>
    <x v="26"/>
    <x v="27"/>
    <n v="0.49"/>
  </r>
  <r>
    <x v="113"/>
    <x v="107"/>
    <m/>
    <m/>
    <x v="105"/>
    <m/>
    <x v="9"/>
    <n v="238"/>
    <n v="476"/>
    <x v="27"/>
    <x v="28"/>
    <n v="0.5"/>
  </r>
  <r>
    <x v="114"/>
    <x v="108"/>
    <m/>
    <m/>
    <x v="105"/>
    <m/>
    <x v="3"/>
    <m/>
    <m/>
    <x v="10"/>
    <x v="23"/>
    <m/>
  </r>
  <r>
    <x v="115"/>
    <x v="109"/>
    <m/>
    <m/>
    <x v="105"/>
    <m/>
    <x v="10"/>
    <m/>
    <m/>
    <x v="10"/>
    <x v="23"/>
    <m/>
  </r>
  <r>
    <x v="116"/>
    <x v="62"/>
    <m/>
    <m/>
    <x v="105"/>
    <m/>
    <x v="11"/>
    <n v="450"/>
    <n v="900"/>
    <x v="28"/>
    <x v="28"/>
    <n v="0.5"/>
  </r>
  <r>
    <x v="117"/>
    <x v="110"/>
    <m/>
    <m/>
    <x v="105"/>
    <m/>
    <x v="12"/>
    <n v="2115"/>
    <n v="4700"/>
    <x v="29"/>
    <x v="29"/>
    <n v="0.55000000000000004"/>
  </r>
  <r>
    <x v="118"/>
    <x v="19"/>
    <m/>
    <m/>
    <x v="105"/>
    <m/>
    <x v="13"/>
    <n v="1570"/>
    <n v="2988"/>
    <x v="30"/>
    <x v="30"/>
    <n v="0.47"/>
  </r>
  <r>
    <x v="119"/>
    <x v="111"/>
    <m/>
    <m/>
    <x v="105"/>
    <m/>
    <x v="14"/>
    <n v="990"/>
    <n v="1814"/>
    <x v="31"/>
    <x v="31"/>
    <n v="0.45"/>
  </r>
  <r>
    <x v="48"/>
    <x v="103"/>
    <m/>
    <m/>
    <x v="105"/>
    <m/>
    <x v="15"/>
    <n v="968"/>
    <n v="1814"/>
    <x v="32"/>
    <x v="32"/>
    <n v="0.47"/>
  </r>
  <r>
    <x v="48"/>
    <x v="103"/>
    <m/>
    <m/>
    <x v="105"/>
    <m/>
    <x v="3"/>
    <m/>
    <m/>
    <x v="10"/>
    <x v="23"/>
    <m/>
  </r>
  <r>
    <x v="48"/>
    <x v="103"/>
    <m/>
    <m/>
    <x v="105"/>
    <m/>
    <x v="16"/>
    <m/>
    <m/>
    <x v="10"/>
    <x v="23"/>
    <m/>
  </r>
  <r>
    <x v="48"/>
    <x v="103"/>
    <m/>
    <m/>
    <x v="105"/>
    <m/>
    <x v="12"/>
    <n v="2115"/>
    <n v="4700"/>
    <x v="29"/>
    <x v="29"/>
    <n v="0.55000000000000004"/>
  </r>
  <r>
    <x v="48"/>
    <x v="103"/>
    <m/>
    <m/>
    <x v="105"/>
    <m/>
    <x v="17"/>
    <n v="2048"/>
    <n v="4500"/>
    <x v="33"/>
    <x v="33"/>
    <n v="0.54"/>
  </r>
  <r>
    <x v="48"/>
    <x v="103"/>
    <m/>
    <m/>
    <x v="105"/>
    <m/>
    <x v="18"/>
    <n v="3750"/>
    <n v="6143"/>
    <x v="34"/>
    <x v="34"/>
    <n v="0.39"/>
  </r>
  <r>
    <x v="48"/>
    <x v="103"/>
    <m/>
    <m/>
    <x v="105"/>
    <m/>
    <x v="19"/>
    <n v="2025"/>
    <n v="3971"/>
    <x v="35"/>
    <x v="35"/>
    <n v="0.49"/>
  </r>
  <r>
    <x v="48"/>
    <x v="103"/>
    <m/>
    <m/>
    <x v="105"/>
    <m/>
    <x v="6"/>
    <n v="2200"/>
    <n v="4080"/>
    <x v="24"/>
    <x v="25"/>
    <n v="0.46"/>
  </r>
  <r>
    <x v="48"/>
    <x v="103"/>
    <m/>
    <m/>
    <x v="105"/>
    <m/>
    <x v="7"/>
    <n v="2750"/>
    <n v="4471"/>
    <x v="25"/>
    <x v="26"/>
    <n v="0.38"/>
  </r>
  <r>
    <x v="48"/>
    <x v="103"/>
    <m/>
    <m/>
    <x v="105"/>
    <m/>
    <x v="20"/>
    <n v="1820"/>
    <n v="3490"/>
    <x v="36"/>
    <x v="36"/>
    <n v="0.48"/>
  </r>
  <r>
    <x v="48"/>
    <x v="103"/>
    <m/>
    <m/>
    <x v="105"/>
    <m/>
    <x v="21"/>
    <n v="1274"/>
    <n v="2800"/>
    <x v="37"/>
    <x v="37"/>
    <n v="0.55000000000000004"/>
  </r>
  <r>
    <x v="48"/>
    <x v="103"/>
    <m/>
    <m/>
    <x v="105"/>
    <m/>
    <x v="13"/>
    <n v="1570"/>
    <n v="2988"/>
    <x v="30"/>
    <x v="30"/>
    <n v="0.47"/>
  </r>
  <r>
    <x v="48"/>
    <x v="103"/>
    <m/>
    <m/>
    <x v="105"/>
    <m/>
    <x v="5"/>
    <n v="1860"/>
    <n v="3220"/>
    <x v="23"/>
    <x v="24"/>
    <n v="0.42"/>
  </r>
  <r>
    <x v="48"/>
    <x v="103"/>
    <m/>
    <m/>
    <x v="105"/>
    <m/>
    <x v="3"/>
    <m/>
    <m/>
    <x v="10"/>
    <x v="23"/>
    <m/>
  </r>
  <r>
    <x v="48"/>
    <x v="103"/>
    <m/>
    <m/>
    <x v="105"/>
    <m/>
    <x v="22"/>
    <m/>
    <m/>
    <x v="10"/>
    <x v="23"/>
    <m/>
  </r>
  <r>
    <x v="48"/>
    <x v="103"/>
    <m/>
    <m/>
    <x v="105"/>
    <m/>
    <x v="5"/>
    <n v="1860"/>
    <n v="3220"/>
    <x v="23"/>
    <x v="24"/>
    <n v="0.42"/>
  </r>
  <r>
    <x v="48"/>
    <x v="103"/>
    <m/>
    <m/>
    <x v="105"/>
    <m/>
    <x v="6"/>
    <n v="2200"/>
    <n v="4080"/>
    <x v="24"/>
    <x v="25"/>
    <n v="0.46"/>
  </r>
  <r>
    <x v="48"/>
    <x v="103"/>
    <m/>
    <m/>
    <x v="105"/>
    <m/>
    <x v="7"/>
    <n v="2750"/>
    <n v="4471"/>
    <x v="25"/>
    <x v="26"/>
    <n v="0.38"/>
  </r>
  <r>
    <x v="48"/>
    <x v="103"/>
    <m/>
    <m/>
    <x v="105"/>
    <m/>
    <x v="8"/>
    <n v="475"/>
    <n v="931"/>
    <x v="26"/>
    <x v="27"/>
    <n v="0.49"/>
  </r>
  <r>
    <x v="48"/>
    <x v="103"/>
    <m/>
    <m/>
    <x v="105"/>
    <m/>
    <x v="9"/>
    <n v="238"/>
    <n v="476"/>
    <x v="27"/>
    <x v="28"/>
    <n v="0.5"/>
  </r>
  <r>
    <x v="48"/>
    <x v="103"/>
    <m/>
    <m/>
    <x v="105"/>
    <m/>
    <x v="23"/>
    <n v="610"/>
    <n v="1060"/>
    <x v="28"/>
    <x v="38"/>
    <n v="0.42"/>
  </r>
  <r>
    <x v="48"/>
    <x v="103"/>
    <m/>
    <m/>
    <x v="105"/>
    <m/>
    <x v="24"/>
    <n v="2132"/>
    <n v="2169"/>
    <x v="38"/>
    <x v="39"/>
    <n v="0.02"/>
  </r>
  <r>
    <x v="48"/>
    <x v="103"/>
    <m/>
    <m/>
    <x v="105"/>
    <m/>
    <x v="25"/>
    <n v="999"/>
    <n v="2000"/>
    <x v="39"/>
    <x v="40"/>
    <n v="0.5"/>
  </r>
  <r>
    <x v="48"/>
    <x v="103"/>
    <m/>
    <m/>
    <x v="105"/>
    <m/>
    <x v="26"/>
    <n v="1190"/>
    <n v="1785"/>
    <x v="40"/>
    <x v="41"/>
    <n v="0.33"/>
  </r>
  <r>
    <x v="48"/>
    <x v="103"/>
    <m/>
    <m/>
    <x v="105"/>
    <m/>
    <x v="27"/>
    <n v="671"/>
    <n v="1316"/>
    <x v="41"/>
    <x v="42"/>
    <n v="0.49"/>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r>
    <x v="48"/>
    <x v="103"/>
    <m/>
    <m/>
    <x v="105"/>
    <m/>
    <x v="3"/>
    <m/>
    <m/>
    <x v="10"/>
    <x v="2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x v="0"/>
    <x v="0"/>
    <x v="0"/>
    <x v="0"/>
    <x v="0"/>
    <x v="0"/>
    <x v="0"/>
    <x v="0"/>
    <x v="0"/>
    <x v="0"/>
  </r>
  <r>
    <x v="1"/>
    <x v="1"/>
    <x v="1"/>
    <x v="1"/>
    <x v="1"/>
    <x v="1"/>
    <x v="1"/>
    <x v="1"/>
    <x v="1"/>
    <x v="1"/>
    <x v="1"/>
    <x v="1"/>
  </r>
  <r>
    <x v="2"/>
    <x v="2"/>
    <x v="2"/>
    <x v="2"/>
    <x v="2"/>
    <x v="2"/>
    <x v="0"/>
    <x v="2"/>
    <x v="2"/>
    <x v="2"/>
    <x v="2"/>
    <x v="0"/>
  </r>
  <r>
    <x v="3"/>
    <x v="3"/>
    <x v="3"/>
    <x v="3"/>
    <x v="3"/>
    <x v="3"/>
    <x v="0"/>
    <x v="3"/>
    <x v="3"/>
    <x v="3"/>
    <x v="3"/>
    <x v="0"/>
  </r>
  <r>
    <x v="4"/>
    <x v="4"/>
    <x v="4"/>
    <x v="4"/>
    <x v="4"/>
    <x v="4"/>
    <x v="0"/>
    <x v="4"/>
    <x v="4"/>
    <x v="4"/>
    <x v="4"/>
    <x v="0"/>
  </r>
  <r>
    <x v="5"/>
    <x v="5"/>
    <x v="5"/>
    <x v="5"/>
    <x v="5"/>
    <x v="5"/>
    <x v="2"/>
    <x v="5"/>
    <x v="5"/>
    <x v="5"/>
    <x v="5"/>
    <x v="1"/>
  </r>
  <r>
    <x v="6"/>
    <x v="6"/>
    <x v="6"/>
    <x v="6"/>
    <x v="6"/>
    <x v="6"/>
    <x v="0"/>
    <x v="6"/>
    <x v="6"/>
    <x v="2"/>
    <x v="2"/>
    <x v="0"/>
  </r>
  <r>
    <x v="7"/>
    <x v="7"/>
    <x v="7"/>
    <x v="7"/>
    <x v="7"/>
    <x v="3"/>
    <x v="0"/>
    <x v="0"/>
    <x v="0"/>
    <x v="5"/>
    <x v="5"/>
    <x v="1"/>
  </r>
  <r>
    <x v="8"/>
    <x v="8"/>
    <x v="8"/>
    <x v="8"/>
    <x v="8"/>
    <x v="7"/>
    <x v="1"/>
    <x v="4"/>
    <x v="4"/>
    <x v="4"/>
    <x v="4"/>
    <x v="0"/>
  </r>
  <r>
    <x v="9"/>
    <x v="9"/>
    <x v="9"/>
    <x v="9"/>
    <x v="9"/>
    <x v="8"/>
    <x v="1"/>
    <x v="4"/>
    <x v="4"/>
    <x v="6"/>
    <x v="6"/>
    <x v="1"/>
  </r>
  <r>
    <x v="10"/>
    <x v="10"/>
    <x v="1"/>
    <x v="10"/>
    <x v="10"/>
    <x v="9"/>
    <x v="0"/>
    <x v="7"/>
    <x v="7"/>
    <x v="1"/>
    <x v="1"/>
    <x v="1"/>
  </r>
  <r>
    <x v="11"/>
    <x v="11"/>
    <x v="10"/>
    <x v="11"/>
    <x v="11"/>
    <x v="10"/>
    <x v="0"/>
    <x v="8"/>
    <x v="8"/>
    <x v="3"/>
    <x v="3"/>
    <x v="0"/>
  </r>
  <r>
    <x v="12"/>
    <x v="12"/>
    <x v="11"/>
    <x v="12"/>
    <x v="12"/>
    <x v="1"/>
    <x v="1"/>
    <x v="7"/>
    <x v="7"/>
    <x v="4"/>
    <x v="4"/>
    <x v="0"/>
  </r>
  <r>
    <x v="13"/>
    <x v="13"/>
    <x v="12"/>
    <x v="13"/>
    <x v="13"/>
    <x v="11"/>
    <x v="1"/>
    <x v="9"/>
    <x v="9"/>
    <x v="0"/>
    <x v="0"/>
    <x v="0"/>
  </r>
  <r>
    <x v="14"/>
    <x v="14"/>
    <x v="3"/>
    <x v="14"/>
    <x v="14"/>
    <x v="12"/>
    <x v="0"/>
    <x v="10"/>
    <x v="10"/>
    <x v="7"/>
    <x v="7"/>
    <x v="1"/>
  </r>
  <r>
    <x v="15"/>
    <x v="15"/>
    <x v="13"/>
    <x v="15"/>
    <x v="15"/>
    <x v="13"/>
    <x v="1"/>
    <x v="0"/>
    <x v="0"/>
    <x v="8"/>
    <x v="8"/>
    <x v="0"/>
  </r>
  <r>
    <x v="16"/>
    <x v="16"/>
    <x v="14"/>
    <x v="16"/>
    <x v="16"/>
    <x v="14"/>
    <x v="1"/>
    <x v="0"/>
    <x v="0"/>
    <x v="8"/>
    <x v="8"/>
    <x v="0"/>
  </r>
  <r>
    <x v="17"/>
    <x v="17"/>
    <x v="15"/>
    <x v="17"/>
    <x v="17"/>
    <x v="15"/>
    <x v="1"/>
    <x v="11"/>
    <x v="11"/>
    <x v="8"/>
    <x v="8"/>
    <x v="0"/>
  </r>
  <r>
    <x v="18"/>
    <x v="5"/>
    <x v="16"/>
    <x v="18"/>
    <x v="18"/>
    <x v="16"/>
    <x v="2"/>
    <x v="4"/>
    <x v="4"/>
    <x v="2"/>
    <x v="2"/>
    <x v="0"/>
  </r>
  <r>
    <x v="19"/>
    <x v="18"/>
    <x v="17"/>
    <x v="19"/>
    <x v="19"/>
    <x v="15"/>
    <x v="1"/>
    <x v="12"/>
    <x v="12"/>
    <x v="2"/>
    <x v="2"/>
    <x v="0"/>
  </r>
  <r>
    <x v="20"/>
    <x v="19"/>
    <x v="18"/>
    <x v="20"/>
    <x v="20"/>
    <x v="17"/>
    <x v="1"/>
    <x v="13"/>
    <x v="13"/>
    <x v="9"/>
    <x v="9"/>
    <x v="1"/>
  </r>
  <r>
    <x v="21"/>
    <x v="20"/>
    <x v="19"/>
    <x v="21"/>
    <x v="21"/>
    <x v="11"/>
    <x v="1"/>
    <x v="14"/>
    <x v="14"/>
    <x v="10"/>
    <x v="10"/>
    <x v="0"/>
  </r>
  <r>
    <x v="22"/>
    <x v="21"/>
    <x v="20"/>
    <x v="22"/>
    <x v="22"/>
    <x v="18"/>
    <x v="0"/>
    <x v="9"/>
    <x v="9"/>
    <x v="5"/>
    <x v="5"/>
    <x v="1"/>
  </r>
  <r>
    <x v="23"/>
    <x v="22"/>
    <x v="21"/>
    <x v="23"/>
    <x v="23"/>
    <x v="19"/>
    <x v="0"/>
    <x v="1"/>
    <x v="1"/>
    <x v="11"/>
    <x v="11"/>
    <x v="1"/>
  </r>
  <r>
    <x v="24"/>
    <x v="23"/>
    <x v="22"/>
    <x v="24"/>
    <x v="24"/>
    <x v="20"/>
    <x v="1"/>
    <x v="3"/>
    <x v="3"/>
    <x v="12"/>
    <x v="12"/>
    <x v="1"/>
  </r>
  <r>
    <x v="25"/>
    <x v="24"/>
    <x v="23"/>
    <x v="25"/>
    <x v="25"/>
    <x v="18"/>
    <x v="0"/>
    <x v="15"/>
    <x v="15"/>
    <x v="2"/>
    <x v="2"/>
    <x v="0"/>
  </r>
  <r>
    <x v="26"/>
    <x v="25"/>
    <x v="24"/>
    <x v="26"/>
    <x v="26"/>
    <x v="21"/>
    <x v="2"/>
    <x v="7"/>
    <x v="7"/>
    <x v="6"/>
    <x v="6"/>
    <x v="1"/>
  </r>
  <r>
    <x v="27"/>
    <x v="26"/>
    <x v="25"/>
    <x v="26"/>
    <x v="27"/>
    <x v="22"/>
    <x v="0"/>
    <x v="13"/>
    <x v="13"/>
    <x v="6"/>
    <x v="6"/>
    <x v="1"/>
  </r>
  <r>
    <x v="28"/>
    <x v="27"/>
    <x v="3"/>
    <x v="27"/>
    <x v="28"/>
    <x v="23"/>
    <x v="0"/>
    <x v="16"/>
    <x v="16"/>
    <x v="1"/>
    <x v="1"/>
    <x v="1"/>
  </r>
  <r>
    <x v="29"/>
    <x v="28"/>
    <x v="26"/>
    <x v="28"/>
    <x v="29"/>
    <x v="14"/>
    <x v="1"/>
    <x v="14"/>
    <x v="14"/>
    <x v="10"/>
    <x v="10"/>
    <x v="0"/>
  </r>
  <r>
    <x v="30"/>
    <x v="29"/>
    <x v="27"/>
    <x v="29"/>
    <x v="30"/>
    <x v="24"/>
    <x v="1"/>
    <x v="10"/>
    <x v="10"/>
    <x v="12"/>
    <x v="12"/>
    <x v="1"/>
  </r>
  <r>
    <x v="31"/>
    <x v="30"/>
    <x v="28"/>
    <x v="11"/>
    <x v="31"/>
    <x v="10"/>
    <x v="0"/>
    <x v="7"/>
    <x v="7"/>
    <x v="3"/>
    <x v="3"/>
    <x v="0"/>
  </r>
  <r>
    <x v="32"/>
    <x v="31"/>
    <x v="29"/>
    <x v="30"/>
    <x v="32"/>
    <x v="25"/>
    <x v="1"/>
    <x v="10"/>
    <x v="10"/>
    <x v="12"/>
    <x v="12"/>
    <x v="1"/>
  </r>
  <r>
    <x v="33"/>
    <x v="32"/>
    <x v="30"/>
    <x v="31"/>
    <x v="33"/>
    <x v="26"/>
    <x v="0"/>
    <x v="16"/>
    <x v="16"/>
    <x v="3"/>
    <x v="3"/>
    <x v="0"/>
  </r>
  <r>
    <x v="34"/>
    <x v="33"/>
    <x v="31"/>
    <x v="32"/>
    <x v="34"/>
    <x v="26"/>
    <x v="0"/>
    <x v="17"/>
    <x v="17"/>
    <x v="0"/>
    <x v="0"/>
    <x v="0"/>
  </r>
  <r>
    <x v="35"/>
    <x v="34"/>
    <x v="32"/>
    <x v="33"/>
    <x v="35"/>
    <x v="27"/>
    <x v="1"/>
    <x v="18"/>
    <x v="18"/>
    <x v="8"/>
    <x v="8"/>
    <x v="0"/>
  </r>
  <r>
    <x v="36"/>
    <x v="35"/>
    <x v="14"/>
    <x v="34"/>
    <x v="20"/>
    <x v="17"/>
    <x v="1"/>
    <x v="0"/>
    <x v="0"/>
    <x v="8"/>
    <x v="8"/>
    <x v="0"/>
  </r>
  <r>
    <x v="37"/>
    <x v="36"/>
    <x v="33"/>
    <x v="35"/>
    <x v="36"/>
    <x v="28"/>
    <x v="1"/>
    <x v="19"/>
    <x v="19"/>
    <x v="12"/>
    <x v="12"/>
    <x v="1"/>
  </r>
  <r>
    <x v="38"/>
    <x v="37"/>
    <x v="34"/>
    <x v="36"/>
    <x v="37"/>
    <x v="0"/>
    <x v="0"/>
    <x v="0"/>
    <x v="0"/>
    <x v="0"/>
    <x v="0"/>
    <x v="0"/>
  </r>
  <r>
    <x v="39"/>
    <x v="38"/>
    <x v="35"/>
    <x v="37"/>
    <x v="38"/>
    <x v="0"/>
    <x v="0"/>
    <x v="14"/>
    <x v="14"/>
    <x v="10"/>
    <x v="10"/>
    <x v="0"/>
  </r>
  <r>
    <x v="40"/>
    <x v="39"/>
    <x v="36"/>
    <x v="38"/>
    <x v="39"/>
    <x v="15"/>
    <x v="1"/>
    <x v="14"/>
    <x v="14"/>
    <x v="10"/>
    <x v="10"/>
    <x v="0"/>
  </r>
  <r>
    <x v="41"/>
    <x v="40"/>
    <x v="37"/>
    <x v="39"/>
    <x v="40"/>
    <x v="29"/>
    <x v="1"/>
    <x v="14"/>
    <x v="14"/>
    <x v="10"/>
    <x v="10"/>
    <x v="0"/>
  </r>
  <r>
    <x v="42"/>
    <x v="41"/>
    <x v="38"/>
    <x v="40"/>
    <x v="41"/>
    <x v="11"/>
    <x v="1"/>
    <x v="14"/>
    <x v="14"/>
    <x v="10"/>
    <x v="10"/>
    <x v="0"/>
  </r>
  <r>
    <x v="43"/>
    <x v="42"/>
    <x v="39"/>
    <x v="41"/>
    <x v="42"/>
    <x v="30"/>
    <x v="2"/>
    <x v="14"/>
    <x v="14"/>
    <x v="10"/>
    <x v="10"/>
    <x v="0"/>
  </r>
  <r>
    <x v="44"/>
    <x v="43"/>
    <x v="40"/>
    <x v="42"/>
    <x v="43"/>
    <x v="29"/>
    <x v="1"/>
    <x v="14"/>
    <x v="14"/>
    <x v="10"/>
    <x v="10"/>
    <x v="0"/>
  </r>
  <r>
    <x v="45"/>
    <x v="44"/>
    <x v="41"/>
    <x v="43"/>
    <x v="37"/>
    <x v="12"/>
    <x v="0"/>
    <x v="14"/>
    <x v="14"/>
    <x v="10"/>
    <x v="10"/>
    <x v="0"/>
  </r>
  <r>
    <x v="46"/>
    <x v="45"/>
    <x v="42"/>
    <x v="44"/>
    <x v="44"/>
    <x v="15"/>
    <x v="1"/>
    <x v="14"/>
    <x v="14"/>
    <x v="10"/>
    <x v="10"/>
    <x v="0"/>
  </r>
  <r>
    <x v="47"/>
    <x v="46"/>
    <x v="43"/>
    <x v="45"/>
    <x v="45"/>
    <x v="0"/>
    <x v="0"/>
    <x v="14"/>
    <x v="14"/>
    <x v="10"/>
    <x v="10"/>
    <x v="0"/>
  </r>
  <r>
    <x v="48"/>
    <x v="47"/>
    <x v="44"/>
    <x v="46"/>
    <x v="46"/>
    <x v="31"/>
    <x v="1"/>
    <x v="14"/>
    <x v="14"/>
    <x v="10"/>
    <x v="10"/>
    <x v="0"/>
  </r>
  <r>
    <x v="49"/>
    <x v="48"/>
    <x v="45"/>
    <x v="47"/>
    <x v="47"/>
    <x v="29"/>
    <x v="1"/>
    <x v="14"/>
    <x v="14"/>
    <x v="10"/>
    <x v="10"/>
    <x v="0"/>
  </r>
  <r>
    <x v="50"/>
    <x v="49"/>
    <x v="46"/>
    <x v="48"/>
    <x v="48"/>
    <x v="30"/>
    <x v="2"/>
    <x v="14"/>
    <x v="14"/>
    <x v="10"/>
    <x v="10"/>
    <x v="0"/>
  </r>
  <r>
    <x v="51"/>
    <x v="48"/>
    <x v="47"/>
    <x v="49"/>
    <x v="49"/>
    <x v="32"/>
    <x v="0"/>
    <x v="14"/>
    <x v="14"/>
    <x v="10"/>
    <x v="10"/>
    <x v="0"/>
  </r>
  <r>
    <x v="52"/>
    <x v="50"/>
    <x v="48"/>
    <x v="50"/>
    <x v="50"/>
    <x v="33"/>
    <x v="2"/>
    <x v="14"/>
    <x v="14"/>
    <x v="10"/>
    <x v="10"/>
    <x v="0"/>
  </r>
  <r>
    <x v="53"/>
    <x v="10"/>
    <x v="49"/>
    <x v="51"/>
    <x v="51"/>
    <x v="28"/>
    <x v="1"/>
    <x v="14"/>
    <x v="14"/>
    <x v="10"/>
    <x v="10"/>
    <x v="0"/>
  </r>
  <r>
    <x v="48"/>
    <x v="51"/>
    <x v="50"/>
    <x v="52"/>
    <x v="52"/>
    <x v="8"/>
    <x v="1"/>
    <x v="14"/>
    <x v="14"/>
    <x v="10"/>
    <x v="10"/>
    <x v="0"/>
  </r>
  <r>
    <x v="54"/>
    <x v="52"/>
    <x v="49"/>
    <x v="53"/>
    <x v="53"/>
    <x v="25"/>
    <x v="1"/>
    <x v="14"/>
    <x v="14"/>
    <x v="10"/>
    <x v="10"/>
    <x v="0"/>
  </r>
  <r>
    <x v="48"/>
    <x v="10"/>
    <x v="51"/>
    <x v="54"/>
    <x v="54"/>
    <x v="15"/>
    <x v="1"/>
    <x v="14"/>
    <x v="14"/>
    <x v="10"/>
    <x v="10"/>
    <x v="0"/>
  </r>
  <r>
    <x v="55"/>
    <x v="53"/>
    <x v="52"/>
    <x v="55"/>
    <x v="55"/>
    <x v="26"/>
    <x v="0"/>
    <x v="14"/>
    <x v="14"/>
    <x v="10"/>
    <x v="10"/>
    <x v="0"/>
  </r>
  <r>
    <x v="56"/>
    <x v="54"/>
    <x v="53"/>
    <x v="56"/>
    <x v="56"/>
    <x v="7"/>
    <x v="1"/>
    <x v="14"/>
    <x v="14"/>
    <x v="10"/>
    <x v="10"/>
    <x v="0"/>
  </r>
  <r>
    <x v="57"/>
    <x v="55"/>
    <x v="54"/>
    <x v="57"/>
    <x v="57"/>
    <x v="34"/>
    <x v="2"/>
    <x v="9"/>
    <x v="9"/>
    <x v="13"/>
    <x v="13"/>
    <x v="2"/>
  </r>
  <r>
    <x v="58"/>
    <x v="56"/>
    <x v="55"/>
    <x v="58"/>
    <x v="58"/>
    <x v="20"/>
    <x v="1"/>
    <x v="20"/>
    <x v="20"/>
    <x v="14"/>
    <x v="14"/>
    <x v="1"/>
  </r>
  <r>
    <x v="59"/>
    <x v="57"/>
    <x v="56"/>
    <x v="59"/>
    <x v="59"/>
    <x v="7"/>
    <x v="1"/>
    <x v="13"/>
    <x v="13"/>
    <x v="15"/>
    <x v="15"/>
    <x v="2"/>
  </r>
  <r>
    <x v="60"/>
    <x v="58"/>
    <x v="57"/>
    <x v="60"/>
    <x v="60"/>
    <x v="15"/>
    <x v="1"/>
    <x v="21"/>
    <x v="21"/>
    <x v="16"/>
    <x v="16"/>
    <x v="2"/>
  </r>
  <r>
    <x v="61"/>
    <x v="59"/>
    <x v="58"/>
    <x v="61"/>
    <x v="61"/>
    <x v="24"/>
    <x v="1"/>
    <x v="5"/>
    <x v="5"/>
    <x v="17"/>
    <x v="17"/>
    <x v="2"/>
  </r>
  <r>
    <x v="62"/>
    <x v="60"/>
    <x v="59"/>
    <x v="62"/>
    <x v="62"/>
    <x v="32"/>
    <x v="0"/>
    <x v="22"/>
    <x v="22"/>
    <x v="18"/>
    <x v="18"/>
    <x v="2"/>
  </r>
  <r>
    <x v="63"/>
    <x v="11"/>
    <x v="60"/>
    <x v="63"/>
    <x v="63"/>
    <x v="8"/>
    <x v="1"/>
    <x v="9"/>
    <x v="9"/>
    <x v="19"/>
    <x v="19"/>
    <x v="2"/>
  </r>
  <r>
    <x v="64"/>
    <x v="61"/>
    <x v="40"/>
    <x v="64"/>
    <x v="40"/>
    <x v="29"/>
    <x v="1"/>
    <x v="3"/>
    <x v="3"/>
    <x v="20"/>
    <x v="20"/>
    <x v="2"/>
  </r>
  <r>
    <x v="65"/>
    <x v="62"/>
    <x v="61"/>
    <x v="65"/>
    <x v="64"/>
    <x v="35"/>
    <x v="0"/>
    <x v="4"/>
    <x v="4"/>
    <x v="14"/>
    <x v="14"/>
    <x v="1"/>
  </r>
  <r>
    <x v="66"/>
    <x v="63"/>
    <x v="62"/>
    <x v="66"/>
    <x v="65"/>
    <x v="8"/>
    <x v="1"/>
    <x v="23"/>
    <x v="23"/>
    <x v="21"/>
    <x v="21"/>
    <x v="2"/>
  </r>
  <r>
    <x v="67"/>
    <x v="64"/>
    <x v="63"/>
    <x v="67"/>
    <x v="66"/>
    <x v="36"/>
    <x v="0"/>
    <x v="4"/>
    <x v="4"/>
    <x v="14"/>
    <x v="14"/>
    <x v="1"/>
  </r>
  <r>
    <x v="68"/>
    <x v="65"/>
    <x v="64"/>
    <x v="68"/>
    <x v="67"/>
    <x v="37"/>
    <x v="1"/>
    <x v="9"/>
    <x v="9"/>
    <x v="20"/>
    <x v="20"/>
    <x v="2"/>
  </r>
  <r>
    <x v="69"/>
    <x v="66"/>
    <x v="65"/>
    <x v="69"/>
    <x v="68"/>
    <x v="37"/>
    <x v="1"/>
    <x v="4"/>
    <x v="4"/>
    <x v="14"/>
    <x v="14"/>
    <x v="1"/>
  </r>
  <r>
    <x v="70"/>
    <x v="67"/>
    <x v="60"/>
    <x v="70"/>
    <x v="69"/>
    <x v="1"/>
    <x v="1"/>
    <x v="9"/>
    <x v="9"/>
    <x v="19"/>
    <x v="19"/>
    <x v="2"/>
  </r>
  <r>
    <x v="71"/>
    <x v="68"/>
    <x v="66"/>
    <x v="71"/>
    <x v="70"/>
    <x v="1"/>
    <x v="1"/>
    <x v="3"/>
    <x v="3"/>
    <x v="15"/>
    <x v="15"/>
    <x v="2"/>
  </r>
  <r>
    <x v="72"/>
    <x v="69"/>
    <x v="67"/>
    <x v="72"/>
    <x v="71"/>
    <x v="1"/>
    <x v="1"/>
    <x v="14"/>
    <x v="14"/>
    <x v="10"/>
    <x v="10"/>
    <x v="0"/>
  </r>
  <r>
    <x v="73"/>
    <x v="70"/>
    <x v="68"/>
    <x v="11"/>
    <x v="72"/>
    <x v="37"/>
    <x v="1"/>
    <x v="14"/>
    <x v="14"/>
    <x v="10"/>
    <x v="10"/>
    <x v="0"/>
  </r>
  <r>
    <x v="74"/>
    <x v="71"/>
    <x v="69"/>
    <x v="73"/>
    <x v="73"/>
    <x v="38"/>
    <x v="2"/>
    <x v="14"/>
    <x v="14"/>
    <x v="10"/>
    <x v="10"/>
    <x v="0"/>
  </r>
  <r>
    <x v="75"/>
    <x v="72"/>
    <x v="70"/>
    <x v="74"/>
    <x v="74"/>
    <x v="15"/>
    <x v="1"/>
    <x v="14"/>
    <x v="14"/>
    <x v="10"/>
    <x v="10"/>
    <x v="0"/>
  </r>
  <r>
    <x v="76"/>
    <x v="73"/>
    <x v="71"/>
    <x v="75"/>
    <x v="75"/>
    <x v="14"/>
    <x v="1"/>
    <x v="18"/>
    <x v="18"/>
    <x v="14"/>
    <x v="14"/>
    <x v="1"/>
  </r>
  <r>
    <x v="77"/>
    <x v="74"/>
    <x v="72"/>
    <x v="76"/>
    <x v="76"/>
    <x v="15"/>
    <x v="1"/>
    <x v="18"/>
    <x v="18"/>
    <x v="8"/>
    <x v="8"/>
    <x v="0"/>
  </r>
  <r>
    <x v="78"/>
    <x v="75"/>
    <x v="73"/>
    <x v="77"/>
    <x v="77"/>
    <x v="39"/>
    <x v="0"/>
    <x v="14"/>
    <x v="14"/>
    <x v="10"/>
    <x v="10"/>
    <x v="0"/>
  </r>
  <r>
    <x v="79"/>
    <x v="76"/>
    <x v="46"/>
    <x v="78"/>
    <x v="78"/>
    <x v="30"/>
    <x v="2"/>
    <x v="14"/>
    <x v="14"/>
    <x v="10"/>
    <x v="10"/>
    <x v="0"/>
  </r>
  <r>
    <x v="80"/>
    <x v="77"/>
    <x v="23"/>
    <x v="79"/>
    <x v="79"/>
    <x v="15"/>
    <x v="1"/>
    <x v="18"/>
    <x v="18"/>
    <x v="5"/>
    <x v="5"/>
    <x v="1"/>
  </r>
  <r>
    <x v="81"/>
    <x v="78"/>
    <x v="74"/>
    <x v="80"/>
    <x v="80"/>
    <x v="15"/>
    <x v="1"/>
    <x v="14"/>
    <x v="14"/>
    <x v="10"/>
    <x v="10"/>
    <x v="0"/>
  </r>
  <r>
    <x v="82"/>
    <x v="79"/>
    <x v="46"/>
    <x v="81"/>
    <x v="81"/>
    <x v="40"/>
    <x v="2"/>
    <x v="14"/>
    <x v="14"/>
    <x v="10"/>
    <x v="10"/>
    <x v="0"/>
  </r>
  <r>
    <x v="83"/>
    <x v="80"/>
    <x v="75"/>
    <x v="82"/>
    <x v="82"/>
    <x v="15"/>
    <x v="1"/>
    <x v="14"/>
    <x v="14"/>
    <x v="10"/>
    <x v="10"/>
    <x v="0"/>
  </r>
  <r>
    <x v="84"/>
    <x v="10"/>
    <x v="50"/>
    <x v="83"/>
    <x v="83"/>
    <x v="41"/>
    <x v="2"/>
    <x v="14"/>
    <x v="14"/>
    <x v="10"/>
    <x v="10"/>
    <x v="0"/>
  </r>
  <r>
    <x v="85"/>
    <x v="81"/>
    <x v="76"/>
    <x v="84"/>
    <x v="84"/>
    <x v="15"/>
    <x v="1"/>
    <x v="14"/>
    <x v="14"/>
    <x v="10"/>
    <x v="10"/>
    <x v="0"/>
  </r>
  <r>
    <x v="86"/>
    <x v="82"/>
    <x v="46"/>
    <x v="85"/>
    <x v="85"/>
    <x v="40"/>
    <x v="2"/>
    <x v="14"/>
    <x v="14"/>
    <x v="10"/>
    <x v="10"/>
    <x v="0"/>
  </r>
  <r>
    <x v="87"/>
    <x v="83"/>
    <x v="77"/>
    <x v="22"/>
    <x v="86"/>
    <x v="37"/>
    <x v="1"/>
    <x v="14"/>
    <x v="14"/>
    <x v="10"/>
    <x v="10"/>
    <x v="0"/>
  </r>
  <r>
    <x v="88"/>
    <x v="84"/>
    <x v="78"/>
    <x v="86"/>
    <x v="40"/>
    <x v="29"/>
    <x v="1"/>
    <x v="14"/>
    <x v="14"/>
    <x v="10"/>
    <x v="10"/>
    <x v="0"/>
  </r>
  <r>
    <x v="89"/>
    <x v="85"/>
    <x v="54"/>
    <x v="87"/>
    <x v="87"/>
    <x v="25"/>
    <x v="1"/>
    <x v="14"/>
    <x v="14"/>
    <x v="10"/>
    <x v="10"/>
    <x v="0"/>
  </r>
  <r>
    <x v="90"/>
    <x v="86"/>
    <x v="79"/>
    <x v="88"/>
    <x v="88"/>
    <x v="25"/>
    <x v="1"/>
    <x v="14"/>
    <x v="14"/>
    <x v="10"/>
    <x v="10"/>
    <x v="0"/>
  </r>
  <r>
    <x v="91"/>
    <x v="87"/>
    <x v="46"/>
    <x v="89"/>
    <x v="89"/>
    <x v="1"/>
    <x v="1"/>
    <x v="14"/>
    <x v="14"/>
    <x v="10"/>
    <x v="10"/>
    <x v="0"/>
  </r>
  <r>
    <x v="92"/>
    <x v="46"/>
    <x v="80"/>
    <x v="87"/>
    <x v="40"/>
    <x v="29"/>
    <x v="1"/>
    <x v="14"/>
    <x v="14"/>
    <x v="10"/>
    <x v="10"/>
    <x v="0"/>
  </r>
  <r>
    <x v="93"/>
    <x v="88"/>
    <x v="81"/>
    <x v="90"/>
    <x v="90"/>
    <x v="42"/>
    <x v="2"/>
    <x v="14"/>
    <x v="14"/>
    <x v="10"/>
    <x v="10"/>
    <x v="0"/>
  </r>
  <r>
    <x v="94"/>
    <x v="89"/>
    <x v="48"/>
    <x v="41"/>
    <x v="91"/>
    <x v="30"/>
    <x v="2"/>
    <x v="14"/>
    <x v="14"/>
    <x v="10"/>
    <x v="10"/>
    <x v="0"/>
  </r>
  <r>
    <x v="95"/>
    <x v="90"/>
    <x v="82"/>
    <x v="39"/>
    <x v="92"/>
    <x v="15"/>
    <x v="1"/>
    <x v="14"/>
    <x v="14"/>
    <x v="10"/>
    <x v="10"/>
    <x v="0"/>
  </r>
  <r>
    <x v="96"/>
    <x v="91"/>
    <x v="16"/>
    <x v="91"/>
    <x v="93"/>
    <x v="38"/>
    <x v="2"/>
    <x v="14"/>
    <x v="14"/>
    <x v="10"/>
    <x v="10"/>
    <x v="0"/>
  </r>
  <r>
    <x v="97"/>
    <x v="92"/>
    <x v="83"/>
    <x v="92"/>
    <x v="39"/>
    <x v="15"/>
    <x v="1"/>
    <x v="14"/>
    <x v="14"/>
    <x v="10"/>
    <x v="10"/>
    <x v="0"/>
  </r>
  <r>
    <x v="98"/>
    <x v="93"/>
    <x v="84"/>
    <x v="93"/>
    <x v="94"/>
    <x v="11"/>
    <x v="1"/>
    <x v="14"/>
    <x v="14"/>
    <x v="10"/>
    <x v="10"/>
    <x v="0"/>
  </r>
  <r>
    <x v="99"/>
    <x v="94"/>
    <x v="85"/>
    <x v="94"/>
    <x v="95"/>
    <x v="43"/>
    <x v="0"/>
    <x v="18"/>
    <x v="18"/>
    <x v="8"/>
    <x v="8"/>
    <x v="0"/>
  </r>
  <r>
    <x v="100"/>
    <x v="95"/>
    <x v="86"/>
    <x v="64"/>
    <x v="96"/>
    <x v="28"/>
    <x v="1"/>
    <x v="14"/>
    <x v="14"/>
    <x v="10"/>
    <x v="10"/>
    <x v="0"/>
  </r>
  <r>
    <x v="101"/>
    <x v="96"/>
    <x v="87"/>
    <x v="95"/>
    <x v="97"/>
    <x v="44"/>
    <x v="2"/>
    <x v="14"/>
    <x v="14"/>
    <x v="10"/>
    <x v="10"/>
    <x v="0"/>
  </r>
  <r>
    <x v="102"/>
    <x v="97"/>
    <x v="88"/>
    <x v="96"/>
    <x v="98"/>
    <x v="6"/>
    <x v="0"/>
    <x v="14"/>
    <x v="14"/>
    <x v="10"/>
    <x v="10"/>
    <x v="0"/>
  </r>
  <r>
    <x v="103"/>
    <x v="98"/>
    <x v="89"/>
    <x v="97"/>
    <x v="99"/>
    <x v="10"/>
    <x v="0"/>
    <x v="14"/>
    <x v="14"/>
    <x v="10"/>
    <x v="10"/>
    <x v="0"/>
  </r>
  <r>
    <x v="104"/>
    <x v="44"/>
    <x v="90"/>
    <x v="98"/>
    <x v="100"/>
    <x v="10"/>
    <x v="0"/>
    <x v="14"/>
    <x v="14"/>
    <x v="10"/>
    <x v="10"/>
    <x v="0"/>
  </r>
  <r>
    <x v="105"/>
    <x v="99"/>
    <x v="46"/>
    <x v="99"/>
    <x v="101"/>
    <x v="30"/>
    <x v="2"/>
    <x v="14"/>
    <x v="14"/>
    <x v="10"/>
    <x v="10"/>
    <x v="0"/>
  </r>
  <r>
    <x v="106"/>
    <x v="100"/>
    <x v="69"/>
    <x v="100"/>
    <x v="102"/>
    <x v="30"/>
    <x v="2"/>
    <x v="14"/>
    <x v="14"/>
    <x v="10"/>
    <x v="10"/>
    <x v="0"/>
  </r>
  <r>
    <x v="107"/>
    <x v="47"/>
    <x v="91"/>
    <x v="101"/>
    <x v="103"/>
    <x v="45"/>
    <x v="1"/>
    <x v="14"/>
    <x v="14"/>
    <x v="10"/>
    <x v="10"/>
    <x v="0"/>
  </r>
  <r>
    <x v="108"/>
    <x v="101"/>
    <x v="50"/>
    <x v="40"/>
    <x v="40"/>
    <x v="29"/>
    <x v="1"/>
    <x v="18"/>
    <x v="18"/>
    <x v="22"/>
    <x v="22"/>
    <x v="2"/>
  </r>
  <r>
    <x v="109"/>
    <x v="102"/>
    <x v="92"/>
    <x v="102"/>
    <x v="104"/>
    <x v="1"/>
    <x v="1"/>
    <x v="14"/>
    <x v="14"/>
    <x v="10"/>
    <x v="1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x v="0"/>
    <n v="950"/>
    <n v="1525"/>
    <n v="575"/>
    <n v="0.37704918032786883"/>
    <n v="0.38"/>
    <x v="0"/>
    <n v="-2"/>
    <n v="2"/>
    <s v="4.5 out of 5"/>
    <n v="4.5"/>
    <x v="0"/>
    <x v="0"/>
  </r>
  <r>
    <x v="1"/>
    <n v="527"/>
    <n v="999"/>
    <n v="472"/>
    <n v="0.47247247247247248"/>
    <n v="0.47"/>
    <x v="1"/>
    <n v="-14"/>
    <n v="14"/>
    <s v="4.1 out of 5"/>
    <n v="4.0999999999999996"/>
    <x v="1"/>
    <x v="1"/>
  </r>
  <r>
    <x v="2"/>
    <n v="2199"/>
    <n v="2923"/>
    <n v="724"/>
    <n v="0.24769072870338693"/>
    <n v="0.25"/>
    <x v="0"/>
    <n v="-24"/>
    <n v="24"/>
    <s v="4.6 out of 5"/>
    <n v="4.5999999999999996"/>
    <x v="0"/>
    <x v="2"/>
  </r>
  <r>
    <x v="3"/>
    <n v="1580"/>
    <n v="2499"/>
    <n v="919"/>
    <n v="0.36774709883953582"/>
    <n v="0.37"/>
    <x v="0"/>
    <n v="-7"/>
    <n v="7"/>
    <s v="4.7 out of 5"/>
    <n v="4.7"/>
    <x v="0"/>
    <x v="3"/>
  </r>
  <r>
    <x v="4"/>
    <n v="1740"/>
    <n v="2356"/>
    <n v="616"/>
    <n v="0.26146010186757218"/>
    <n v="0.26"/>
    <x v="0"/>
    <n v="-5"/>
    <n v="5"/>
    <s v="4.8 out of 5"/>
    <n v="4.8"/>
    <x v="0"/>
    <x v="4"/>
  </r>
  <r>
    <x v="5"/>
    <n v="2999"/>
    <n v="3290"/>
    <n v="291"/>
    <n v="8.8449848024316116E-2"/>
    <n v="0.09"/>
    <x v="2"/>
    <n v="-15"/>
    <n v="15"/>
    <s v="4 out of 5"/>
    <n v="4"/>
    <x v="1"/>
    <x v="5"/>
  </r>
  <r>
    <x v="6"/>
    <n v="2319"/>
    <n v="3032"/>
    <n v="713"/>
    <n v="0.23515831134564644"/>
    <n v="0.24"/>
    <x v="0"/>
    <n v="-55"/>
    <n v="55"/>
    <s v="4.6 out of 5"/>
    <n v="4.5999999999999996"/>
    <x v="0"/>
    <x v="6"/>
  </r>
  <r>
    <x v="7"/>
    <n v="988"/>
    <n v="1580"/>
    <n v="592"/>
    <n v="0.37468354430379747"/>
    <n v="0.37"/>
    <x v="0"/>
    <n v="-2"/>
    <n v="2"/>
    <s v="4 out of 5"/>
    <n v="4"/>
    <x v="1"/>
    <x v="7"/>
  </r>
  <r>
    <x v="8"/>
    <n v="1274"/>
    <n v="2800"/>
    <n v="1526"/>
    <n v="0.54500000000000004"/>
    <n v="0.55000000000000004"/>
    <x v="1"/>
    <n v="-5"/>
    <n v="5"/>
    <s v="4.8 out of 5"/>
    <n v="4.8"/>
    <x v="0"/>
    <x v="8"/>
  </r>
  <r>
    <x v="9"/>
    <n v="1600"/>
    <n v="2929"/>
    <n v="1329"/>
    <n v="0.45373847729600547"/>
    <n v="0.45"/>
    <x v="1"/>
    <n v="-5"/>
    <n v="5"/>
    <s v="3.8 out of 5"/>
    <n v="3.8"/>
    <x v="1"/>
    <x v="9"/>
  </r>
  <r>
    <x v="10"/>
    <n v="799"/>
    <n v="999"/>
    <n v="200"/>
    <n v="0.20020020020020021"/>
    <n v="0.2"/>
    <x v="0"/>
    <n v="-12"/>
    <n v="12"/>
    <s v="4.1 out of 5"/>
    <n v="4.0999999999999996"/>
    <x v="1"/>
    <x v="10"/>
  </r>
  <r>
    <x v="11"/>
    <n v="990"/>
    <n v="1500"/>
    <n v="510"/>
    <n v="0.34"/>
    <n v="0.34"/>
    <x v="0"/>
    <n v="-39"/>
    <n v="39"/>
    <s v="4.7 out of 5"/>
    <n v="4.7"/>
    <x v="0"/>
    <x v="11"/>
  </r>
  <r>
    <x v="12"/>
    <n v="552"/>
    <n v="1035"/>
    <n v="483"/>
    <n v="0.46666666666666667"/>
    <n v="0.47"/>
    <x v="1"/>
    <n v="-12"/>
    <n v="12"/>
    <s v="4.8 out of 5"/>
    <n v="4.8"/>
    <x v="0"/>
    <x v="12"/>
  </r>
  <r>
    <x v="13"/>
    <n v="501"/>
    <n v="860"/>
    <n v="359"/>
    <n v="0.41744186046511628"/>
    <n v="0.42"/>
    <x v="1"/>
    <n v="-6"/>
    <n v="6"/>
    <s v="4.5 out of 5"/>
    <n v="4.5"/>
    <x v="0"/>
    <x v="13"/>
  </r>
  <r>
    <x v="14"/>
    <n v="1680"/>
    <n v="2499"/>
    <n v="819"/>
    <n v="0.32773109243697479"/>
    <n v="0.33"/>
    <x v="0"/>
    <n v="-9"/>
    <n v="9"/>
    <s v="4.2 out of 5"/>
    <n v="4.2"/>
    <x v="1"/>
    <x v="14"/>
  </r>
  <r>
    <x v="15"/>
    <n v="332"/>
    <n v="684"/>
    <n v="352"/>
    <n v="0.51461988304093564"/>
    <n v="0.51"/>
    <x v="1"/>
    <n v="-2"/>
    <n v="2"/>
    <s v="5 out of 5"/>
    <n v="5"/>
    <x v="0"/>
    <x v="15"/>
  </r>
  <r>
    <x v="16"/>
    <n v="195"/>
    <n v="360"/>
    <n v="165"/>
    <n v="0.45833333333333331"/>
    <n v="0.46"/>
    <x v="1"/>
    <n v="-2"/>
    <n v="2"/>
    <s v="5 out of 5"/>
    <n v="5"/>
    <x v="0"/>
    <x v="16"/>
  </r>
  <r>
    <x v="17"/>
    <n v="2025"/>
    <n v="3971"/>
    <n v="1946"/>
    <n v="0.49005288340468395"/>
    <n v="0.49"/>
    <x v="1"/>
    <n v="-3"/>
    <n v="3"/>
    <s v="5 out of 5"/>
    <n v="5"/>
    <x v="0"/>
    <x v="17"/>
  </r>
  <r>
    <x v="18"/>
    <n v="2999"/>
    <n v="3699"/>
    <n v="700"/>
    <n v="0.18924033522573669"/>
    <n v="0.19"/>
    <x v="2"/>
    <n v="-5"/>
    <n v="5"/>
    <s v="4.6 out of 5"/>
    <n v="4.5999999999999996"/>
    <x v="0"/>
    <x v="18"/>
  </r>
  <r>
    <x v="19"/>
    <n v="998"/>
    <n v="1966"/>
    <n v="968"/>
    <n v="0.49237029501525942"/>
    <n v="0.49"/>
    <x v="1"/>
    <n v="-44"/>
    <n v="44"/>
    <s v="4.6 out of 5"/>
    <n v="4.5999999999999996"/>
    <x v="0"/>
    <x v="19"/>
  </r>
  <r>
    <x v="20"/>
    <n v="38"/>
    <n v="80"/>
    <n v="42"/>
    <n v="0.52500000000000002"/>
    <n v="0.53"/>
    <x v="1"/>
    <n v="-13"/>
    <n v="13"/>
    <s v="3.3 out of 5"/>
    <n v="3.3"/>
    <x v="1"/>
    <x v="20"/>
  </r>
  <r>
    <x v="21"/>
    <n v="1860"/>
    <n v="3220"/>
    <n v="1360"/>
    <n v="0.42236024844720499"/>
    <n v="0.42"/>
    <x v="1"/>
    <m/>
    <s v=""/>
    <m/>
    <s v=""/>
    <x v="0"/>
    <x v="21"/>
  </r>
  <r>
    <x v="22"/>
    <n v="880"/>
    <n v="1350"/>
    <n v="470"/>
    <n v="0.34814814814814815"/>
    <n v="0.35"/>
    <x v="0"/>
    <n v="-6"/>
    <n v="6"/>
    <s v="4 out of 5"/>
    <n v="4"/>
    <x v="1"/>
    <x v="22"/>
  </r>
  <r>
    <x v="23"/>
    <n v="1650"/>
    <n v="2150"/>
    <n v="500"/>
    <n v="0.23255813953488372"/>
    <n v="0.23"/>
    <x v="0"/>
    <n v="-14"/>
    <n v="14"/>
    <s v="4.4 out of 5"/>
    <n v="4.4000000000000004"/>
    <x v="1"/>
    <x v="23"/>
  </r>
  <r>
    <x v="24"/>
    <n v="2048"/>
    <n v="4500"/>
    <n v="2452"/>
    <n v="0.54488888888888887"/>
    <n v="0.54"/>
    <x v="1"/>
    <n v="-7"/>
    <n v="7"/>
    <s v="4.3 out of 5"/>
    <n v="4.3"/>
    <x v="1"/>
    <x v="24"/>
  </r>
  <r>
    <x v="25"/>
    <n v="420"/>
    <n v="647"/>
    <n v="227"/>
    <n v="0.3508500772797527"/>
    <n v="0.35"/>
    <x v="0"/>
    <n v="-49"/>
    <n v="49"/>
    <s v="4.6 out of 5"/>
    <n v="4.5999999999999996"/>
    <x v="0"/>
    <x v="25"/>
  </r>
  <r>
    <x v="26"/>
    <n v="2880"/>
    <n v="3520"/>
    <n v="640"/>
    <n v="0.18181818181818182"/>
    <n v="0.18"/>
    <x v="2"/>
    <n v="-12"/>
    <n v="12"/>
    <s v="3.8 out of 5"/>
    <n v="3.8"/>
    <x v="1"/>
    <x v="26"/>
  </r>
  <r>
    <x v="27"/>
    <n v="1350"/>
    <n v="1990"/>
    <n v="640"/>
    <n v="0.32160804020100503"/>
    <n v="0.32"/>
    <x v="0"/>
    <n v="-13"/>
    <n v="13"/>
    <s v="3.8 out of 5"/>
    <n v="3.8"/>
    <x v="1"/>
    <x v="27"/>
  </r>
  <r>
    <x v="28"/>
    <n v="1758"/>
    <n v="2499"/>
    <n v="741"/>
    <n v="0.2965186074429772"/>
    <n v="0.3"/>
    <x v="0"/>
    <n v="-20"/>
    <n v="20"/>
    <s v="4.1 out of 5"/>
    <n v="4.0999999999999996"/>
    <x v="1"/>
    <x v="28"/>
  </r>
  <r>
    <x v="29"/>
    <n v="2200"/>
    <n v="4080"/>
    <n v="1880"/>
    <n v="0.46078431372549017"/>
    <n v="0.46"/>
    <x v="1"/>
    <m/>
    <s v=""/>
    <m/>
    <s v=""/>
    <x v="0"/>
    <x v="21"/>
  </r>
  <r>
    <x v="30"/>
    <n v="185"/>
    <n v="382"/>
    <n v="197"/>
    <n v="0.51570680628272247"/>
    <n v="0.52"/>
    <x v="1"/>
    <n v="-9"/>
    <n v="9"/>
    <s v="4.3 out of 5"/>
    <n v="4.3"/>
    <x v="1"/>
    <x v="29"/>
  </r>
  <r>
    <x v="31"/>
    <n v="980"/>
    <n v="1490"/>
    <n v="510"/>
    <n v="0.34228187919463088"/>
    <n v="0.34"/>
    <x v="0"/>
    <n v="-12"/>
    <n v="12"/>
    <s v="4.7 out of 5"/>
    <n v="4.7"/>
    <x v="0"/>
    <x v="30"/>
  </r>
  <r>
    <x v="32"/>
    <n v="1820"/>
    <n v="3490"/>
    <n v="1670"/>
    <n v="0.47851002865329512"/>
    <n v="0.48"/>
    <x v="1"/>
    <n v="-9"/>
    <n v="9"/>
    <s v="4.3 out of 5"/>
    <n v="4.3"/>
    <x v="1"/>
    <x v="31"/>
  </r>
  <r>
    <x v="33"/>
    <n v="1940"/>
    <n v="2650"/>
    <n v="710"/>
    <n v="0.26792452830188679"/>
    <n v="0.27"/>
    <x v="0"/>
    <n v="-20"/>
    <n v="20"/>
    <s v="4.7 out of 5"/>
    <n v="4.7"/>
    <x v="0"/>
    <x v="32"/>
  </r>
  <r>
    <x v="34"/>
    <n v="1980"/>
    <n v="2699"/>
    <n v="719"/>
    <n v="0.26639496109670247"/>
    <n v="0.27"/>
    <x v="0"/>
    <n v="-32"/>
    <n v="32"/>
    <s v="4.5 out of 5"/>
    <n v="4.5"/>
    <x v="0"/>
    <x v="33"/>
  </r>
  <r>
    <x v="35"/>
    <n v="1620"/>
    <n v="2690"/>
    <n v="1070"/>
    <n v="0.39776951672862454"/>
    <n v="0.4"/>
    <x v="1"/>
    <n v="-1"/>
    <n v="1"/>
    <s v="5 out of 5"/>
    <n v="5"/>
    <x v="0"/>
    <x v="34"/>
  </r>
  <r>
    <x v="36"/>
    <n v="171"/>
    <n v="360"/>
    <n v="189"/>
    <n v="0.52500000000000002"/>
    <n v="0.53"/>
    <x v="1"/>
    <n v="-2"/>
    <n v="2"/>
    <s v="5 out of 5"/>
    <n v="5"/>
    <x v="0"/>
    <x v="35"/>
  </r>
  <r>
    <x v="37"/>
    <n v="389"/>
    <n v="656"/>
    <n v="267"/>
    <n v="0.40701219512195119"/>
    <n v="0.41"/>
    <x v="1"/>
    <n v="-36"/>
    <n v="36"/>
    <s v="4.3 out of 5"/>
    <n v="4.3"/>
    <x v="1"/>
    <x v="36"/>
  </r>
  <r>
    <x v="38"/>
    <n v="1800"/>
    <n v="2700"/>
    <n v="900"/>
    <n v="0.33333333333333331"/>
    <n v="0.38"/>
    <x v="0"/>
    <n v="-2"/>
    <n v="2"/>
    <s v="4.5 out of 5"/>
    <n v="4.5"/>
    <x v="0"/>
    <x v="0"/>
  </r>
  <r>
    <x v="39"/>
    <n v="2750"/>
    <n v="4471"/>
    <n v="1721"/>
    <n v="0.38492507269067322"/>
    <n v="0.38"/>
    <x v="0"/>
    <m/>
    <s v=""/>
    <m/>
    <s v=""/>
    <x v="0"/>
    <x v="21"/>
  </r>
  <r>
    <x v="40"/>
    <n v="475"/>
    <n v="931"/>
    <n v="456"/>
    <n v="0.48979591836734693"/>
    <n v="0.49"/>
    <x v="1"/>
    <m/>
    <s v=""/>
    <m/>
    <s v=""/>
    <x v="0"/>
    <x v="21"/>
  </r>
  <r>
    <x v="41"/>
    <n v="238"/>
    <n v="476"/>
    <n v="238"/>
    <n v="0.5"/>
    <n v="0.5"/>
    <x v="1"/>
    <m/>
    <s v=""/>
    <m/>
    <s v=""/>
    <x v="0"/>
    <x v="21"/>
  </r>
  <r>
    <x v="42"/>
    <n v="610"/>
    <n v="1060"/>
    <n v="450"/>
    <n v="0.42452830188679247"/>
    <n v="0.42"/>
    <x v="1"/>
    <m/>
    <s v=""/>
    <m/>
    <s v=""/>
    <x v="0"/>
    <x v="21"/>
  </r>
  <r>
    <x v="43"/>
    <n v="2132"/>
    <n v="2169"/>
    <n v="37"/>
    <n v="1.705855232826187E-2"/>
    <n v="0.02"/>
    <x v="2"/>
    <m/>
    <s v=""/>
    <m/>
    <s v=""/>
    <x v="0"/>
    <x v="21"/>
  </r>
  <r>
    <x v="44"/>
    <n v="999"/>
    <n v="2000"/>
    <n v="1001"/>
    <n v="0.50049999999999994"/>
    <n v="0.5"/>
    <x v="1"/>
    <m/>
    <s v=""/>
    <m/>
    <s v=""/>
    <x v="0"/>
    <x v="21"/>
  </r>
  <r>
    <x v="45"/>
    <n v="1190"/>
    <n v="1785"/>
    <n v="595"/>
    <n v="0.33333333333333331"/>
    <n v="0.33"/>
    <x v="0"/>
    <m/>
    <s v=""/>
    <m/>
    <s v=""/>
    <x v="0"/>
    <x v="21"/>
  </r>
  <r>
    <x v="46"/>
    <n v="671"/>
    <n v="1316"/>
    <n v="645"/>
    <n v="0.49012158054711247"/>
    <n v="0.49"/>
    <x v="1"/>
    <m/>
    <s v=""/>
    <m/>
    <s v=""/>
    <x v="0"/>
    <x v="21"/>
  </r>
  <r>
    <x v="47"/>
    <n v="1200"/>
    <n v="1950"/>
    <n v="750"/>
    <n v="0.38461538461538464"/>
    <n v="0.38"/>
    <x v="0"/>
    <m/>
    <s v=""/>
    <m/>
    <s v=""/>
    <x v="0"/>
    <x v="21"/>
  </r>
  <r>
    <x v="48"/>
    <n v="199"/>
    <n v="504"/>
    <n v="305"/>
    <n v="0.60515873015873012"/>
    <n v="0.61"/>
    <x v="1"/>
    <m/>
    <s v=""/>
    <m/>
    <s v=""/>
    <x v="0"/>
    <x v="21"/>
  </r>
  <r>
    <x v="49"/>
    <n v="299"/>
    <n v="600"/>
    <n v="301"/>
    <n v="0.50166666666666671"/>
    <n v="0.5"/>
    <x v="1"/>
    <m/>
    <s v=""/>
    <m/>
    <s v=""/>
    <x v="0"/>
    <x v="21"/>
  </r>
  <r>
    <x v="50"/>
    <n v="1660"/>
    <n v="1699"/>
    <n v="39"/>
    <n v="2.2954679223072396E-2"/>
    <n v="0.02"/>
    <x v="2"/>
    <m/>
    <s v=""/>
    <m/>
    <s v=""/>
    <x v="0"/>
    <x v="21"/>
  </r>
  <r>
    <x v="51"/>
    <n v="299"/>
    <n v="384"/>
    <n v="85"/>
    <n v="0.22135416666666666"/>
    <n v="0.22"/>
    <x v="0"/>
    <m/>
    <s v=""/>
    <m/>
    <s v=""/>
    <x v="0"/>
    <x v="21"/>
  </r>
  <r>
    <x v="52"/>
    <n v="1459"/>
    <n v="1499"/>
    <n v="40"/>
    <n v="2.6684456304202801E-2"/>
    <n v="0.03"/>
    <x v="2"/>
    <m/>
    <s v=""/>
    <m/>
    <s v=""/>
    <x v="0"/>
    <x v="21"/>
  </r>
  <r>
    <x v="53"/>
    <n v="799"/>
    <n v="1343"/>
    <n v="544"/>
    <n v="0.4050632911392405"/>
    <n v="0.41"/>
    <x v="1"/>
    <m/>
    <s v=""/>
    <m/>
    <s v=""/>
    <x v="0"/>
    <x v="21"/>
  </r>
  <r>
    <x v="48"/>
    <n v="499"/>
    <n v="900"/>
    <n v="401"/>
    <n v="0.44555555555555554"/>
    <n v="0.45"/>
    <x v="1"/>
    <m/>
    <s v=""/>
    <m/>
    <s v=""/>
    <x v="0"/>
    <x v="21"/>
  </r>
  <r>
    <x v="54"/>
    <n v="699"/>
    <n v="1343"/>
    <n v="644"/>
    <n v="0.47952345495160087"/>
    <n v="0.48"/>
    <x v="1"/>
    <m/>
    <s v=""/>
    <m/>
    <s v=""/>
    <x v="0"/>
    <x v="21"/>
  </r>
  <r>
    <x v="48"/>
    <n v="799"/>
    <n v="1567"/>
    <n v="768"/>
    <n v="0.49010848755583919"/>
    <n v="0.49"/>
    <x v="1"/>
    <m/>
    <s v=""/>
    <m/>
    <s v=""/>
    <x v="0"/>
    <x v="21"/>
  </r>
  <r>
    <x v="55"/>
    <n v="2799"/>
    <n v="3810"/>
    <n v="1011"/>
    <n v="0.26535433070866143"/>
    <n v="0.27"/>
    <x v="0"/>
    <m/>
    <s v=""/>
    <m/>
    <s v=""/>
    <x v="0"/>
    <x v="21"/>
  </r>
  <r>
    <x v="56"/>
    <n v="399"/>
    <n v="896"/>
    <n v="497"/>
    <n v="0.5546875"/>
    <n v="0.55000000000000004"/>
    <x v="1"/>
    <m/>
    <s v=""/>
    <m/>
    <s v=""/>
    <x v="0"/>
    <x v="21"/>
  </r>
  <r>
    <x v="57"/>
    <n v="2170"/>
    <n v="2500"/>
    <n v="330"/>
    <n v="0.13200000000000001"/>
    <n v="0.13"/>
    <x v="2"/>
    <n v="-6"/>
    <n v="6"/>
    <s v="2.5 out of 5"/>
    <n v="2.5"/>
    <x v="2"/>
    <x v="37"/>
  </r>
  <r>
    <x v="58"/>
    <n v="458"/>
    <n v="986"/>
    <n v="528"/>
    <n v="0.53549695740365111"/>
    <n v="0.54"/>
    <x v="1"/>
    <n v="-10"/>
    <n v="10"/>
    <s v="3 out of 5"/>
    <n v="3"/>
    <x v="1"/>
    <x v="38"/>
  </r>
  <r>
    <x v="59"/>
    <n v="2115"/>
    <n v="4700"/>
    <n v="2585"/>
    <n v="0.55000000000000004"/>
    <n v="0.55000000000000004"/>
    <x v="1"/>
    <n v="-13"/>
    <n v="13"/>
    <s v="2.1 out of 5"/>
    <n v="2.1"/>
    <x v="2"/>
    <x v="39"/>
  </r>
  <r>
    <x v="60"/>
    <n v="445"/>
    <n v="873"/>
    <n v="428"/>
    <n v="0.49026345933562426"/>
    <n v="0.49"/>
    <x v="1"/>
    <n v="-69"/>
    <n v="69"/>
    <s v="2.8 out of 5"/>
    <n v="2.8"/>
    <x v="2"/>
    <x v="40"/>
  </r>
  <r>
    <x v="61"/>
    <n v="325"/>
    <n v="680"/>
    <n v="355"/>
    <n v="0.5220588235294118"/>
    <n v="0.52"/>
    <x v="1"/>
    <n v="-15"/>
    <n v="15"/>
    <s v="2.7 out of 5"/>
    <n v="2.7"/>
    <x v="2"/>
    <x v="41"/>
  </r>
  <r>
    <x v="62"/>
    <n v="1220"/>
    <n v="1555"/>
    <n v="335"/>
    <n v="0.21543408360128619"/>
    <n v="0.22"/>
    <x v="0"/>
    <n v="-16"/>
    <n v="16"/>
    <s v="2.9 out of 5"/>
    <n v="2.9"/>
    <x v="2"/>
    <x v="42"/>
  </r>
  <r>
    <x v="63"/>
    <n v="990"/>
    <n v="1814"/>
    <n v="824"/>
    <n v="0.45424476295479604"/>
    <n v="0.45"/>
    <x v="1"/>
    <n v="-6"/>
    <n v="6"/>
    <s v="2.2 out of 5"/>
    <n v="2.2000000000000002"/>
    <x v="2"/>
    <x v="43"/>
  </r>
  <r>
    <x v="64"/>
    <n v="1000"/>
    <n v="2000"/>
    <n v="1000"/>
    <n v="0.5"/>
    <n v="0.5"/>
    <x v="1"/>
    <n v="-7"/>
    <n v="7"/>
    <s v="2.3 out of 5"/>
    <n v="2.2999999999999998"/>
    <x v="2"/>
    <x v="44"/>
  </r>
  <r>
    <x v="65"/>
    <n v="3750"/>
    <n v="6143"/>
    <n v="2393"/>
    <n v="0.38954908025394758"/>
    <n v="0.39"/>
    <x v="0"/>
    <n v="-5"/>
    <n v="5"/>
    <s v="3 out of 5"/>
    <n v="3"/>
    <x v="1"/>
    <x v="45"/>
  </r>
  <r>
    <x v="66"/>
    <n v="382"/>
    <n v="700"/>
    <n v="318"/>
    <n v="0.45428571428571429"/>
    <n v="0.45"/>
    <x v="1"/>
    <n v="-17"/>
    <n v="17"/>
    <s v="2.6 out of 5"/>
    <n v="2.6"/>
    <x v="2"/>
    <x v="46"/>
  </r>
  <r>
    <x v="67"/>
    <n v="2300"/>
    <n v="3240"/>
    <n v="940"/>
    <n v="0.29012345679012347"/>
    <n v="0.28999999999999998"/>
    <x v="0"/>
    <n v="-5"/>
    <n v="5"/>
    <s v="3 out of 5"/>
    <n v="3"/>
    <x v="1"/>
    <x v="47"/>
  </r>
  <r>
    <x v="68"/>
    <n v="345"/>
    <n v="602"/>
    <n v="257"/>
    <n v="0.42691029900332228"/>
    <n v="0.43"/>
    <x v="1"/>
    <n v="-6"/>
    <n v="6"/>
    <s v="2.3 out of 5"/>
    <n v="2.2999999999999998"/>
    <x v="2"/>
    <x v="48"/>
  </r>
  <r>
    <x v="69"/>
    <n v="509"/>
    <n v="899"/>
    <n v="390"/>
    <n v="0.43381535038932145"/>
    <n v="0.43"/>
    <x v="1"/>
    <n v="-5"/>
    <n v="5"/>
    <s v="3 out of 5"/>
    <n v="3"/>
    <x v="1"/>
    <x v="49"/>
  </r>
  <r>
    <x v="70"/>
    <n v="968"/>
    <n v="1814"/>
    <n v="846"/>
    <n v="0.46637265711135611"/>
    <n v="0.47"/>
    <x v="1"/>
    <n v="-6"/>
    <n v="6"/>
    <s v="2.2 out of 5"/>
    <n v="2.2000000000000002"/>
    <x v="2"/>
    <x v="50"/>
  </r>
  <r>
    <x v="71"/>
    <n v="1570"/>
    <n v="2988"/>
    <n v="1418"/>
    <n v="0.4745649263721553"/>
    <n v="0.47"/>
    <x v="1"/>
    <n v="-7"/>
    <n v="7"/>
    <s v="2.1 out of 5"/>
    <n v="2.1"/>
    <x v="2"/>
    <x v="51"/>
  </r>
  <r>
    <x v="72"/>
    <n v="790"/>
    <n v="1485"/>
    <n v="695"/>
    <n v="0.46801346801346799"/>
    <n v="0.47"/>
    <x v="1"/>
    <m/>
    <s v=""/>
    <m/>
    <s v=""/>
    <x v="0"/>
    <x v="21"/>
  </r>
  <r>
    <x v="73"/>
    <n v="690"/>
    <n v="1200"/>
    <n v="510"/>
    <n v="0.42499999999999999"/>
    <n v="0.43"/>
    <x v="1"/>
    <m/>
    <s v=""/>
    <m/>
    <s v=""/>
    <x v="0"/>
    <x v="21"/>
  </r>
  <r>
    <x v="74"/>
    <n v="1732"/>
    <n v="1799"/>
    <n v="67"/>
    <n v="3.7242912729294052E-2"/>
    <n v="0.04"/>
    <x v="2"/>
    <m/>
    <s v=""/>
    <m/>
    <s v=""/>
    <x v="0"/>
    <x v="21"/>
  </r>
  <r>
    <x v="75"/>
    <n v="230"/>
    <n v="450"/>
    <n v="220"/>
    <n v="0.48888888888888887"/>
    <n v="0.49"/>
    <x v="1"/>
    <m/>
    <s v=""/>
    <m/>
    <s v=""/>
    <x v="0"/>
    <x v="21"/>
  </r>
  <r>
    <x v="76"/>
    <n v="1189"/>
    <n v="2199"/>
    <n v="1010"/>
    <n v="0.45929968167348795"/>
    <n v="0.46"/>
    <x v="1"/>
    <n v="-1"/>
    <n v="1"/>
    <s v="3 out of 5"/>
    <n v="3"/>
    <x v="1"/>
    <x v="52"/>
  </r>
  <r>
    <x v="77"/>
    <n v="979"/>
    <n v="1920"/>
    <n v="941"/>
    <n v="0.49010416666666667"/>
    <n v="0.49"/>
    <x v="1"/>
    <n v="-1"/>
    <n v="1"/>
    <s v="5 out of 5"/>
    <n v="5"/>
    <x v="0"/>
    <x v="53"/>
  </r>
  <r>
    <x v="78"/>
    <n v="1460"/>
    <n v="2290"/>
    <n v="830"/>
    <n v="0.36244541484716158"/>
    <n v="0.36"/>
    <x v="0"/>
    <m/>
    <s v=""/>
    <m/>
    <s v=""/>
    <x v="0"/>
    <x v="21"/>
  </r>
  <r>
    <x v="79"/>
    <n v="1666"/>
    <n v="1699"/>
    <n v="33"/>
    <n v="1.9423190111830489E-2"/>
    <n v="0.02"/>
    <x v="2"/>
    <m/>
    <s v=""/>
    <m/>
    <s v=""/>
    <x v="0"/>
    <x v="21"/>
  </r>
  <r>
    <x v="80"/>
    <n v="330"/>
    <n v="647"/>
    <n v="317"/>
    <n v="0.48995363214837712"/>
    <n v="0.49"/>
    <x v="1"/>
    <n v="-1"/>
    <n v="1"/>
    <s v="4 out of 5"/>
    <n v="4"/>
    <x v="1"/>
    <x v="54"/>
  </r>
  <r>
    <x v="81"/>
    <n v="176"/>
    <n v="345"/>
    <n v="169"/>
    <n v="0.48985507246376814"/>
    <n v="0.49"/>
    <x v="1"/>
    <m/>
    <s v=""/>
    <m/>
    <s v=""/>
    <x v="0"/>
    <x v="21"/>
  </r>
  <r>
    <x v="82"/>
    <n v="1466"/>
    <n v="1699"/>
    <n v="233"/>
    <n v="0.13713949381989404"/>
    <n v="0.14000000000000001"/>
    <x v="2"/>
    <m/>
    <s v=""/>
    <m/>
    <s v=""/>
    <x v="0"/>
    <x v="21"/>
  </r>
  <r>
    <x v="83"/>
    <n v="274"/>
    <n v="537"/>
    <n v="263"/>
    <n v="0.48975791433891991"/>
    <n v="0.49"/>
    <x v="1"/>
    <m/>
    <s v=""/>
    <m/>
    <s v=""/>
    <x v="0"/>
    <x v="21"/>
  </r>
  <r>
    <x v="84"/>
    <n v="799"/>
    <n v="900"/>
    <n v="101"/>
    <n v="0.11222222222222222"/>
    <n v="0.11"/>
    <x v="2"/>
    <m/>
    <s v=""/>
    <m/>
    <s v=""/>
    <x v="0"/>
    <x v="21"/>
  </r>
  <r>
    <x v="85"/>
    <n v="657"/>
    <n v="1288"/>
    <n v="631"/>
    <n v="0.48990683229813664"/>
    <n v="0.49"/>
    <x v="1"/>
    <m/>
    <s v=""/>
    <m/>
    <s v=""/>
    <x v="0"/>
    <x v="21"/>
  </r>
  <r>
    <x v="86"/>
    <n v="1468"/>
    <n v="1699"/>
    <n v="231"/>
    <n v="0.13596233078281342"/>
    <n v="0.14000000000000001"/>
    <x v="2"/>
    <m/>
    <s v=""/>
    <m/>
    <s v=""/>
    <x v="0"/>
    <x v="21"/>
  </r>
  <r>
    <x v="87"/>
    <n v="630"/>
    <n v="1100"/>
    <n v="470"/>
    <n v="0.42727272727272725"/>
    <n v="0.43"/>
    <x v="1"/>
    <m/>
    <s v=""/>
    <m/>
    <s v=""/>
    <x v="0"/>
    <x v="21"/>
  </r>
  <r>
    <x v="88"/>
    <n v="850"/>
    <n v="1700"/>
    <n v="850"/>
    <n v="0.5"/>
    <n v="0.5"/>
    <x v="1"/>
    <m/>
    <s v=""/>
    <m/>
    <s v=""/>
    <x v="0"/>
    <x v="21"/>
  </r>
  <r>
    <x v="89"/>
    <n v="1300"/>
    <n v="2500"/>
    <n v="1200"/>
    <n v="0.48"/>
    <n v="0.48"/>
    <x v="1"/>
    <m/>
    <s v=""/>
    <m/>
    <s v=""/>
    <x v="0"/>
    <x v="21"/>
  </r>
  <r>
    <x v="90"/>
    <n v="105"/>
    <n v="200"/>
    <n v="95"/>
    <n v="0.47499999999999998"/>
    <n v="0.48"/>
    <x v="1"/>
    <m/>
    <s v=""/>
    <m/>
    <s v=""/>
    <x v="0"/>
    <x v="21"/>
  </r>
  <r>
    <x v="91"/>
    <n v="899"/>
    <n v="1699"/>
    <n v="800"/>
    <n v="0.47086521483225424"/>
    <n v="0.47"/>
    <x v="1"/>
    <m/>
    <s v=""/>
    <m/>
    <s v=""/>
    <x v="0"/>
    <x v="21"/>
  </r>
  <r>
    <x v="92"/>
    <n v="1200"/>
    <n v="2400"/>
    <n v="1200"/>
    <n v="0.5"/>
    <n v="0.5"/>
    <x v="1"/>
    <m/>
    <s v=""/>
    <m/>
    <s v=""/>
    <x v="0"/>
    <x v="21"/>
  </r>
  <r>
    <x v="93"/>
    <n v="1526"/>
    <n v="1660"/>
    <n v="134"/>
    <n v="8.0722891566265054E-2"/>
    <n v="0.08"/>
    <x v="2"/>
    <m/>
    <s v=""/>
    <m/>
    <s v=""/>
    <x v="0"/>
    <x v="21"/>
  </r>
  <r>
    <x v="94"/>
    <n v="1462"/>
    <n v="1499"/>
    <n v="37"/>
    <n v="2.4683122081387593E-2"/>
    <n v="0.02"/>
    <x v="2"/>
    <m/>
    <s v=""/>
    <m/>
    <s v=""/>
    <x v="0"/>
    <x v="21"/>
  </r>
  <r>
    <x v="95"/>
    <n v="248"/>
    <n v="486"/>
    <n v="238"/>
    <n v="0.48971193415637859"/>
    <n v="0.49"/>
    <x v="1"/>
    <m/>
    <s v=""/>
    <m/>
    <s v=""/>
    <x v="0"/>
    <x v="21"/>
  </r>
  <r>
    <x v="96"/>
    <n v="3546"/>
    <n v="3699"/>
    <n v="153"/>
    <n v="4.1362530413625302E-2"/>
    <n v="0.04"/>
    <x v="2"/>
    <m/>
    <s v=""/>
    <m/>
    <s v=""/>
    <x v="0"/>
    <x v="21"/>
  </r>
  <r>
    <x v="97"/>
    <n v="525"/>
    <n v="1029"/>
    <n v="504"/>
    <n v="0.48979591836734693"/>
    <n v="0.49"/>
    <x v="1"/>
    <m/>
    <s v=""/>
    <m/>
    <s v=""/>
    <x v="0"/>
    <x v="21"/>
  </r>
  <r>
    <x v="98"/>
    <n v="1080"/>
    <n v="1874"/>
    <n v="794"/>
    <n v="0.42369263607257202"/>
    <n v="0.42"/>
    <x v="1"/>
    <m/>
    <s v=""/>
    <m/>
    <s v=""/>
    <x v="0"/>
    <x v="21"/>
  </r>
  <r>
    <x v="99"/>
    <n v="3640"/>
    <n v="4588"/>
    <n v="948"/>
    <n v="0.20662598081952921"/>
    <n v="0.21"/>
    <x v="0"/>
    <n v="-1"/>
    <n v="1"/>
    <s v="5 out of 5"/>
    <n v="5"/>
    <x v="0"/>
    <x v="55"/>
  </r>
  <r>
    <x v="100"/>
    <n v="1420"/>
    <n v="2420"/>
    <n v="1000"/>
    <n v="0.41322314049586778"/>
    <n v="0.41"/>
    <x v="1"/>
    <m/>
    <s v=""/>
    <m/>
    <s v=""/>
    <x v="0"/>
    <x v="21"/>
  </r>
  <r>
    <x v="101"/>
    <n v="1875"/>
    <n v="1899"/>
    <n v="24"/>
    <n v="1.2638230647709321E-2"/>
    <n v="0.01"/>
    <x v="2"/>
    <m/>
    <s v=""/>
    <m/>
    <s v=""/>
    <x v="0"/>
    <x v="21"/>
  </r>
  <r>
    <x v="102"/>
    <n v="198"/>
    <n v="260"/>
    <n v="62"/>
    <n v="0.23846153846153847"/>
    <n v="0.24"/>
    <x v="0"/>
    <m/>
    <s v=""/>
    <m/>
    <s v=""/>
    <x v="0"/>
    <x v="21"/>
  </r>
  <r>
    <x v="103"/>
    <n v="1150"/>
    <n v="1737"/>
    <n v="587"/>
    <n v="0.3379389752446747"/>
    <n v="0.34"/>
    <x v="0"/>
    <m/>
    <s v=""/>
    <m/>
    <s v=""/>
    <x v="0"/>
    <x v="21"/>
  </r>
  <r>
    <x v="104"/>
    <n v="1190"/>
    <n v="1810"/>
    <n v="620"/>
    <n v="0.34254143646408841"/>
    <n v="0.34"/>
    <x v="0"/>
    <m/>
    <s v=""/>
    <m/>
    <s v=""/>
    <x v="0"/>
    <x v="21"/>
  </r>
  <r>
    <x v="105"/>
    <n v="1658"/>
    <n v="1699"/>
    <n v="41"/>
    <n v="2.4131842260153032E-2"/>
    <n v="0.02"/>
    <x v="2"/>
    <m/>
    <s v=""/>
    <m/>
    <s v=""/>
    <x v="0"/>
    <x v="21"/>
  </r>
  <r>
    <x v="106"/>
    <n v="1768"/>
    <n v="1799"/>
    <n v="31"/>
    <n v="1.7231795441912175E-2"/>
    <n v="0.02"/>
    <x v="2"/>
    <m/>
    <s v=""/>
    <m/>
    <s v=""/>
    <x v="0"/>
    <x v="21"/>
  </r>
  <r>
    <x v="107"/>
    <n v="199"/>
    <n v="553"/>
    <n v="354"/>
    <n v="0.64014466546112114"/>
    <n v="0.64"/>
    <x v="1"/>
    <m/>
    <s v=""/>
    <m/>
    <s v=""/>
    <x v="0"/>
    <x v="21"/>
  </r>
  <r>
    <x v="108"/>
    <n v="450"/>
    <n v="900"/>
    <n v="450"/>
    <n v="0.5"/>
    <n v="0.5"/>
    <x v="1"/>
    <n v="-1"/>
    <n v="1"/>
    <s v="2 out of 5"/>
    <n v="2"/>
    <x v="2"/>
    <x v="56"/>
  </r>
  <r>
    <x v="109"/>
    <n v="169"/>
    <n v="320"/>
    <n v="151"/>
    <n v="0.47187499999999999"/>
    <n v="0.47"/>
    <x v="1"/>
    <m/>
    <s v=""/>
    <m/>
    <s v=""/>
    <x v="0"/>
    <x v="21"/>
  </r>
  <r>
    <x v="48"/>
    <m/>
    <m/>
    <m/>
    <m/>
    <m/>
    <x v="3"/>
    <m/>
    <m/>
    <m/>
    <m/>
    <x v="3"/>
    <x v="21"/>
  </r>
  <r>
    <x v="48"/>
    <m/>
    <m/>
    <m/>
    <m/>
    <m/>
    <x v="3"/>
    <m/>
    <m/>
    <m/>
    <m/>
    <x v="3"/>
    <x v="21"/>
  </r>
  <r>
    <x v="48"/>
    <m/>
    <m/>
    <m/>
    <m/>
    <m/>
    <x v="3"/>
    <m/>
    <m/>
    <m/>
    <m/>
    <x v="3"/>
    <x v="21"/>
  </r>
  <r>
    <x v="48"/>
    <m/>
    <m/>
    <m/>
    <m/>
    <m/>
    <x v="3"/>
    <m/>
    <m/>
    <m/>
    <m/>
    <x v="3"/>
    <x v="21"/>
  </r>
  <r>
    <x v="48"/>
    <m/>
    <m/>
    <m/>
    <m/>
    <m/>
    <x v="3"/>
    <m/>
    <m/>
    <m/>
    <m/>
    <x v="3"/>
    <x v="21"/>
  </r>
  <r>
    <x v="48"/>
    <m/>
    <m/>
    <m/>
    <m/>
    <m/>
    <x v="3"/>
    <m/>
    <m/>
    <m/>
    <m/>
    <x v="3"/>
    <x v="21"/>
  </r>
  <r>
    <x v="110"/>
    <n v="1186.8928571428571"/>
    <m/>
    <m/>
    <m/>
    <m/>
    <x v="3"/>
    <m/>
    <m/>
    <m/>
    <m/>
    <x v="3"/>
    <x v="21"/>
  </r>
  <r>
    <x v="111"/>
    <n v="1811.1071428571429"/>
    <m/>
    <m/>
    <m/>
    <m/>
    <x v="3"/>
    <m/>
    <m/>
    <m/>
    <m/>
    <x v="3"/>
    <x v="21"/>
  </r>
  <r>
    <x v="112"/>
    <n v="0.36714123251752773"/>
    <m/>
    <m/>
    <m/>
    <m/>
    <x v="3"/>
    <m/>
    <m/>
    <m/>
    <m/>
    <x v="3"/>
    <x v="21"/>
  </r>
  <r>
    <x v="113"/>
    <n v="3.8894736842105258"/>
    <m/>
    <m/>
    <m/>
    <m/>
    <x v="3"/>
    <m/>
    <m/>
    <m/>
    <m/>
    <x v="3"/>
    <x v="21"/>
  </r>
  <r>
    <x v="114"/>
    <n v="624.21428571428567"/>
    <m/>
    <m/>
    <m/>
    <m/>
    <x v="3"/>
    <m/>
    <m/>
    <m/>
    <m/>
    <x v="3"/>
    <x v="21"/>
  </r>
  <r>
    <x v="115"/>
    <n v="12.684210526315789"/>
    <m/>
    <m/>
    <m/>
    <m/>
    <x v="3"/>
    <m/>
    <m/>
    <m/>
    <m/>
    <x v="3"/>
    <x v="21"/>
  </r>
  <r>
    <x v="116"/>
    <n v="3750"/>
    <m/>
    <m/>
    <m/>
    <m/>
    <x v="3"/>
    <m/>
    <m/>
    <m/>
    <m/>
    <x v="3"/>
    <x v="21"/>
  </r>
  <r>
    <x v="117"/>
    <s v="32PCS Portable Cordless Drill Set With Cyclic Battery Drive -26 Variable Speed"/>
    <m/>
    <m/>
    <m/>
    <m/>
    <x v="3"/>
    <m/>
    <m/>
    <m/>
    <m/>
    <x v="3"/>
    <x v="21"/>
  </r>
  <r>
    <x v="118"/>
    <n v="38"/>
    <m/>
    <m/>
    <m/>
    <m/>
    <x v="3"/>
    <m/>
    <m/>
    <m/>
    <m/>
    <x v="3"/>
    <x v="21"/>
  </r>
  <r>
    <x v="119"/>
    <s v="3PCS Single Head Knitting Crochet Sweater Needle Set"/>
    <m/>
    <m/>
    <m/>
    <m/>
    <x v="3"/>
    <m/>
    <m/>
    <m/>
    <m/>
    <x v="3"/>
    <x v="21"/>
  </r>
  <r>
    <x v="120"/>
    <n v="110"/>
    <m/>
    <m/>
    <m/>
    <m/>
    <x v="3"/>
    <m/>
    <m/>
    <m/>
    <m/>
    <x v="3"/>
    <x v="21"/>
  </r>
  <r>
    <x v="121"/>
    <n v="58"/>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21"/>
  </r>
  <r>
    <x v="48"/>
    <m/>
    <m/>
    <m/>
    <m/>
    <m/>
    <x v="3"/>
    <m/>
    <m/>
    <m/>
    <m/>
    <x v="3"/>
    <x v="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3B400B-9577-4EEF-B566-A92C3E25FD6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2">
    <pivotField axis="axisRow" showAll="0" measureFilter="1">
      <items count="121">
        <item x="38"/>
        <item x="11"/>
        <item x="0"/>
        <item x="27"/>
        <item x="31"/>
        <item x="60"/>
        <item x="55"/>
        <item x="9"/>
        <item x="6"/>
        <item x="102"/>
        <item x="79"/>
        <item x="5"/>
        <item x="101"/>
        <item x="92"/>
        <item x="47"/>
        <item x="72"/>
        <item x="65"/>
        <item x="64"/>
        <item x="19"/>
        <item x="73"/>
        <item x="20"/>
        <item x="95"/>
        <item x="12"/>
        <item x="40"/>
        <item x="21"/>
        <item x="57"/>
        <item x="28"/>
        <item x="34"/>
        <item x="33"/>
        <item x="78"/>
        <item x="59"/>
        <item x="107"/>
        <item x="91"/>
        <item x="45"/>
        <item x="75"/>
        <item x="70"/>
        <item x="98"/>
        <item x="100"/>
        <item x="66"/>
        <item x="85"/>
        <item x="15"/>
        <item x="63"/>
        <item x="110"/>
        <item x="114"/>
        <item x="112"/>
        <item x="111"/>
        <item x="113"/>
        <item x="115"/>
        <item x="97"/>
        <item x="42"/>
        <item x="77"/>
        <item x="109"/>
        <item x="49"/>
        <item x="46"/>
        <item x="83"/>
        <item x="104"/>
        <item x="44"/>
        <item x="54"/>
        <item x="36"/>
        <item x="81"/>
        <item x="74"/>
        <item x="53"/>
        <item x="7"/>
        <item x="35"/>
        <item x="71"/>
        <item x="25"/>
        <item x="30"/>
        <item x="23"/>
        <item x="10"/>
        <item x="117"/>
        <item x="116"/>
        <item x="80"/>
        <item x="61"/>
        <item x="99"/>
        <item x="67"/>
        <item x="24"/>
        <item x="17"/>
        <item x="13"/>
        <item x="8"/>
        <item x="39"/>
        <item x="32"/>
        <item x="22"/>
        <item x="103"/>
        <item x="18"/>
        <item x="119"/>
        <item x="118"/>
        <item x="76"/>
        <item x="1"/>
        <item x="96"/>
        <item x="41"/>
        <item x="14"/>
        <item x="87"/>
        <item x="29"/>
        <item x="52"/>
        <item x="58"/>
        <item x="82"/>
        <item x="84"/>
        <item x="16"/>
        <item x="50"/>
        <item x="51"/>
        <item x="4"/>
        <item x="2"/>
        <item x="94"/>
        <item x="26"/>
        <item x="89"/>
        <item x="37"/>
        <item x="90"/>
        <item x="43"/>
        <item x="105"/>
        <item x="56"/>
        <item x="106"/>
        <item x="62"/>
        <item x="88"/>
        <item x="93"/>
        <item x="108"/>
        <item x="86"/>
        <item x="68"/>
        <item x="3"/>
        <item x="69"/>
        <item x="48"/>
        <item t="default"/>
      </items>
    </pivotField>
    <pivotField showAll="0"/>
    <pivotField showAll="0"/>
    <pivotField showAll="0"/>
    <pivotField showAll="0"/>
    <pivotField showAll="0"/>
    <pivotField showAll="0"/>
    <pivotField showAll="0"/>
    <pivotField showAll="0"/>
    <pivotField showAll="0">
      <items count="43">
        <item x="38"/>
        <item x="27"/>
        <item x="28"/>
        <item x="26"/>
        <item x="40"/>
        <item x="41"/>
        <item x="31"/>
        <item x="32"/>
        <item x="39"/>
        <item x="23"/>
        <item x="30"/>
        <item x="37"/>
        <item x="36"/>
        <item x="25"/>
        <item x="24"/>
        <item x="35"/>
        <item x="34"/>
        <item x="33"/>
        <item x="29"/>
        <item x="22"/>
        <item x="15"/>
        <item x="19"/>
        <item x="20"/>
        <item x="13"/>
        <item x="21"/>
        <item x="17"/>
        <item x="16"/>
        <item x="18"/>
        <item x="14"/>
        <item x="9"/>
        <item x="6"/>
        <item x="5"/>
        <item x="1"/>
        <item x="7"/>
        <item x="12"/>
        <item x="11"/>
        <item x="0"/>
        <item x="2"/>
        <item x="3"/>
        <item x="4"/>
        <item x="8"/>
        <item x="10"/>
        <item t="default"/>
      </items>
    </pivotField>
    <pivotField dataField="1" showAll="0">
      <items count="44">
        <item x="39"/>
        <item x="41"/>
        <item x="26"/>
        <item x="34"/>
        <item x="24"/>
        <item x="38"/>
        <item x="31"/>
        <item x="25"/>
        <item x="32"/>
        <item x="30"/>
        <item x="36"/>
        <item x="27"/>
        <item x="35"/>
        <item x="42"/>
        <item x="28"/>
        <item x="40"/>
        <item x="33"/>
        <item x="37"/>
        <item x="29"/>
        <item x="22"/>
        <item x="15"/>
        <item x="19"/>
        <item x="20"/>
        <item x="13"/>
        <item x="21"/>
        <item x="17"/>
        <item x="16"/>
        <item x="18"/>
        <item x="14"/>
        <item x="9"/>
        <item x="6"/>
        <item x="5"/>
        <item x="1"/>
        <item x="7"/>
        <item x="12"/>
        <item x="11"/>
        <item x="0"/>
        <item x="2"/>
        <item x="3"/>
        <item x="4"/>
        <item x="8"/>
        <item x="10"/>
        <item x="23"/>
        <item t="default"/>
      </items>
    </pivotField>
    <pivotField showAll="0"/>
  </pivotFields>
  <rowFields count="1">
    <field x="0"/>
  </rowFields>
  <rowItems count="11">
    <i>
      <x v="22"/>
    </i>
    <i>
      <x v="40"/>
    </i>
    <i>
      <x v="50"/>
    </i>
    <i>
      <x v="58"/>
    </i>
    <i>
      <x v="63"/>
    </i>
    <i>
      <x v="73"/>
    </i>
    <i>
      <x v="76"/>
    </i>
    <i>
      <x v="78"/>
    </i>
    <i>
      <x v="97"/>
    </i>
    <i>
      <x v="100"/>
    </i>
    <i t="grand">
      <x/>
    </i>
  </rowItems>
  <colItems count="1">
    <i/>
  </colItems>
  <dataFields count="1">
    <dataField name="ratings" fld="10" subtotal="average"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B681EE-FF7B-4954-B4E1-F46FE96FADC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53:M58" firstHeaderRow="1" firstDataRow="1" firstDataCol="1"/>
  <pivotFields count="13">
    <pivotField dataField="1"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3"/>
        <item x="2"/>
        <item x="0"/>
        <item x="1"/>
        <item t="default"/>
      </items>
    </pivotField>
    <pivotField showAll="0"/>
  </pivotFields>
  <rowFields count="1">
    <field x="11"/>
  </rowFields>
  <rowItems count="5">
    <i>
      <x/>
    </i>
    <i>
      <x v="1"/>
    </i>
    <i>
      <x v="2"/>
    </i>
    <i>
      <x v="3"/>
    </i>
    <i t="grand">
      <x/>
    </i>
  </rowItems>
  <colItems count="1">
    <i/>
  </colItems>
  <dataFields count="1">
    <dataField name="Count of Product" fld="0" subtotal="count" baseField="11" baseItem="0"/>
  </dataField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23CBAF-05D0-4137-887E-0DCD631805E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9:E70" firstHeaderRow="0" firstDataRow="1" firstDataCol="1"/>
  <pivotFields count="13">
    <pivotField axis="axisRow" showAll="0" measureFilter="1" sortType="descending">
      <items count="123">
        <item x="48"/>
        <item x="69"/>
        <item x="3"/>
        <item x="68"/>
        <item x="86"/>
        <item x="108"/>
        <item x="93"/>
        <item x="88"/>
        <item x="62"/>
        <item x="106"/>
        <item x="56"/>
        <item x="105"/>
        <item x="43"/>
        <item x="90"/>
        <item x="121"/>
        <item x="37"/>
        <item x="120"/>
        <item x="89"/>
        <item x="26"/>
        <item x="94"/>
        <item x="2"/>
        <item x="4"/>
        <item x="51"/>
        <item x="50"/>
        <item x="16"/>
        <item x="84"/>
        <item x="82"/>
        <item x="58"/>
        <item x="52"/>
        <item x="29"/>
        <item x="87"/>
        <item x="14"/>
        <item x="41"/>
        <item x="96"/>
        <item x="1"/>
        <item x="76"/>
        <item x="118"/>
        <item x="119"/>
        <item x="18"/>
        <item x="103"/>
        <item x="22"/>
        <item x="32"/>
        <item x="39"/>
        <item x="8"/>
        <item x="13"/>
        <item x="17"/>
        <item x="24"/>
        <item x="67"/>
        <item x="99"/>
        <item x="61"/>
        <item x="80"/>
        <item x="116"/>
        <item x="117"/>
        <item x="10"/>
        <item x="23"/>
        <item x="30"/>
        <item x="25"/>
        <item x="71"/>
        <item x="35"/>
        <item x="7"/>
        <item x="53"/>
        <item x="74"/>
        <item x="81"/>
        <item x="36"/>
        <item x="54"/>
        <item x="44"/>
        <item x="104"/>
        <item x="83"/>
        <item x="46"/>
        <item x="49"/>
        <item x="109"/>
        <item x="77"/>
        <item x="42"/>
        <item x="97"/>
        <item x="115"/>
        <item x="113"/>
        <item x="111"/>
        <item x="112"/>
        <item x="114"/>
        <item x="110"/>
        <item x="63"/>
        <item x="15"/>
        <item x="85"/>
        <item x="66"/>
        <item x="100"/>
        <item x="98"/>
        <item x="70"/>
        <item x="75"/>
        <item x="45"/>
        <item x="91"/>
        <item x="107"/>
        <item x="59"/>
        <item x="78"/>
        <item x="33"/>
        <item x="34"/>
        <item x="28"/>
        <item x="57"/>
        <item x="21"/>
        <item x="40"/>
        <item x="12"/>
        <item x="95"/>
        <item x="20"/>
        <item x="73"/>
        <item x="19"/>
        <item x="64"/>
        <item x="65"/>
        <item x="72"/>
        <item x="47"/>
        <item x="92"/>
        <item x="101"/>
        <item x="5"/>
        <item x="79"/>
        <item x="102"/>
        <item x="6"/>
        <item x="9"/>
        <item x="55"/>
        <item x="60"/>
        <item x="31"/>
        <item x="27"/>
        <item x="0"/>
        <item x="11"/>
        <item x="38"/>
        <item t="default"/>
      </items>
    </pivotField>
    <pivotField showAll="0"/>
    <pivotField showAll="0"/>
    <pivotField showAll="0"/>
    <pivotField dataField="1" showAll="0"/>
    <pivotField showAll="0"/>
    <pivotField showAll="0"/>
    <pivotField showAll="0"/>
    <pivotField dataField="1" showAll="0"/>
    <pivotField showAll="0"/>
    <pivotField dataField="1" showAll="0"/>
    <pivotField showAll="0"/>
    <pivotField dataField="1" showAll="0">
      <items count="59">
        <item x="56"/>
        <item x="52"/>
        <item x="54"/>
        <item x="55"/>
        <item x="34"/>
        <item x="53"/>
        <item x="7"/>
        <item x="0"/>
        <item x="16"/>
        <item x="15"/>
        <item x="35"/>
        <item x="17"/>
        <item x="47"/>
        <item x="45"/>
        <item x="49"/>
        <item x="43"/>
        <item x="50"/>
        <item x="37"/>
        <item x="48"/>
        <item x="9"/>
        <item x="51"/>
        <item x="18"/>
        <item x="44"/>
        <item x="4"/>
        <item x="8"/>
        <item x="22"/>
        <item x="13"/>
        <item x="24"/>
        <item x="3"/>
        <item x="14"/>
        <item x="38"/>
        <item x="31"/>
        <item x="29"/>
        <item x="39"/>
        <item x="26"/>
        <item x="10"/>
        <item x="20"/>
        <item x="30"/>
        <item x="12"/>
        <item x="27"/>
        <item x="41"/>
        <item x="1"/>
        <item x="23"/>
        <item x="5"/>
        <item x="42"/>
        <item x="46"/>
        <item x="28"/>
        <item x="32"/>
        <item x="2"/>
        <item x="33"/>
        <item x="36"/>
        <item x="11"/>
        <item x="19"/>
        <item x="25"/>
        <item x="6"/>
        <item x="40"/>
        <item x="21"/>
        <item x="57"/>
        <item t="default"/>
      </items>
    </pivotField>
  </pivotFields>
  <rowFields count="1">
    <field x="0"/>
  </rowFields>
  <rowItems count="11">
    <i>
      <x v="15"/>
    </i>
    <i>
      <x v="20"/>
    </i>
    <i>
      <x v="56"/>
    </i>
    <i>
      <x v="93"/>
    </i>
    <i>
      <x v="94"/>
    </i>
    <i>
      <x v="95"/>
    </i>
    <i>
      <x v="103"/>
    </i>
    <i>
      <x v="113"/>
    </i>
    <i>
      <x v="116"/>
    </i>
    <i>
      <x v="120"/>
    </i>
    <i t="grand">
      <x/>
    </i>
  </rowItems>
  <colFields count="1">
    <field x="-2"/>
  </colFields>
  <colItems count="4">
    <i>
      <x/>
    </i>
    <i i="1">
      <x v="1"/>
    </i>
    <i i="2">
      <x v="2"/>
    </i>
    <i i="3">
      <x v="3"/>
    </i>
  </colItems>
  <dataFields count="4">
    <dataField name="ABS_DISC%" fld="4" subtotal="average" baseField="0" baseItem="15" numFmtId="10"/>
    <dataField name="ABS_RATINGS" fld="10" subtotal="average" baseField="0" baseItem="15"/>
    <dataField name="ABS_REVIEWS" fld="8" subtotal="average" baseField="0" baseItem="15"/>
    <dataField name="PERFORMANCE SCORES" fld="12" subtotal="max" baseField="0" baseItem="15"/>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count" evalOrder="-1" id="1" iMeasureFld="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9A0923-9E89-41A8-A68D-33699573BD61}"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F29" firstHeaderRow="1" firstDataRow="1" firstDataCol="1"/>
  <pivotFields count="12">
    <pivotField axis="axisRow" showAll="0" measureFilter="1">
      <items count="111">
        <item x="38"/>
        <item x="11"/>
        <item x="0"/>
        <item x="27"/>
        <item x="31"/>
        <item x="60"/>
        <item x="55"/>
        <item x="9"/>
        <item x="6"/>
        <item x="102"/>
        <item x="79"/>
        <item x="5"/>
        <item x="101"/>
        <item x="92"/>
        <item x="47"/>
        <item x="72"/>
        <item x="65"/>
        <item x="64"/>
        <item x="19"/>
        <item x="73"/>
        <item x="20"/>
        <item x="95"/>
        <item x="12"/>
        <item x="40"/>
        <item x="21"/>
        <item x="57"/>
        <item x="28"/>
        <item x="34"/>
        <item x="33"/>
        <item x="78"/>
        <item x="59"/>
        <item x="107"/>
        <item x="91"/>
        <item x="45"/>
        <item x="75"/>
        <item x="70"/>
        <item x="98"/>
        <item x="100"/>
        <item x="66"/>
        <item x="85"/>
        <item x="15"/>
        <item x="63"/>
        <item x="97"/>
        <item x="42"/>
        <item x="77"/>
        <item x="109"/>
        <item x="49"/>
        <item x="46"/>
        <item x="83"/>
        <item x="104"/>
        <item x="44"/>
        <item x="54"/>
        <item x="36"/>
        <item x="81"/>
        <item x="74"/>
        <item x="53"/>
        <item x="7"/>
        <item x="35"/>
        <item x="71"/>
        <item x="25"/>
        <item x="30"/>
        <item x="23"/>
        <item x="10"/>
        <item x="80"/>
        <item x="61"/>
        <item x="99"/>
        <item x="67"/>
        <item x="24"/>
        <item x="17"/>
        <item x="13"/>
        <item x="8"/>
        <item x="39"/>
        <item x="32"/>
        <item x="22"/>
        <item x="103"/>
        <item x="18"/>
        <item x="76"/>
        <item x="1"/>
        <item x="96"/>
        <item x="41"/>
        <item x="14"/>
        <item x="87"/>
        <item x="29"/>
        <item x="52"/>
        <item x="58"/>
        <item x="82"/>
        <item x="84"/>
        <item x="16"/>
        <item x="50"/>
        <item x="51"/>
        <item x="4"/>
        <item x="2"/>
        <item x="94"/>
        <item x="26"/>
        <item x="89"/>
        <item x="37"/>
        <item x="90"/>
        <item x="43"/>
        <item x="105"/>
        <item x="56"/>
        <item x="106"/>
        <item x="62"/>
        <item x="88"/>
        <item x="93"/>
        <item x="108"/>
        <item x="86"/>
        <item x="68"/>
        <item x="3"/>
        <item x="69"/>
        <item x="48"/>
        <item t="default"/>
      </items>
    </pivotField>
    <pivotField numFmtId="2" showAll="0"/>
    <pivotField numFmtId="2" showAll="0"/>
    <pivotField numFmtId="2" showAll="0"/>
    <pivotField dataField="1" numFmtId="10" showAll="0"/>
    <pivotField numFmtId="9" showAll="0"/>
    <pivotField showAll="0">
      <items count="4">
        <item x="1"/>
        <item x="2"/>
        <item x="0"/>
        <item t="default"/>
      </items>
    </pivotField>
    <pivotField showAll="0"/>
    <pivotField showAll="0"/>
    <pivotField showAll="0"/>
    <pivotField showAll="0"/>
    <pivotField showAll="0">
      <items count="4">
        <item x="1"/>
        <item x="0"/>
        <item x="2"/>
        <item t="default"/>
      </items>
    </pivotField>
  </pivotFields>
  <rowFields count="1">
    <field x="0"/>
  </rowFields>
  <rowItems count="11">
    <i>
      <x v="10"/>
    </i>
    <i>
      <x v="12"/>
    </i>
    <i>
      <x v="54"/>
    </i>
    <i>
      <x v="78"/>
    </i>
    <i>
      <x v="83"/>
    </i>
    <i>
      <x v="88"/>
    </i>
    <i>
      <x v="92"/>
    </i>
    <i>
      <x v="97"/>
    </i>
    <i>
      <x v="98"/>
    </i>
    <i>
      <x v="100"/>
    </i>
    <i t="grand">
      <x/>
    </i>
  </rowItems>
  <colItems count="1">
    <i/>
  </colItems>
  <dataFields count="1">
    <dataField name="discount%" fld="4" subtotal="average" baseField="0" baseItem="0" numFmtId="9"/>
  </dataField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CCDC7F-9EE1-49B2-9C5D-08AECC7ECA41}"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F14" firstHeaderRow="1" firstDataRow="1" firstDataCol="1"/>
  <pivotFields count="12">
    <pivotField axis="axisRow" showAll="0" measureFilter="1">
      <items count="111">
        <item x="38"/>
        <item x="11"/>
        <item x="0"/>
        <item x="27"/>
        <item x="31"/>
        <item x="60"/>
        <item x="55"/>
        <item x="9"/>
        <item x="6"/>
        <item x="102"/>
        <item x="79"/>
        <item x="5"/>
        <item x="101"/>
        <item x="92"/>
        <item x="47"/>
        <item x="72"/>
        <item x="65"/>
        <item x="64"/>
        <item x="19"/>
        <item x="73"/>
        <item x="20"/>
        <item x="95"/>
        <item x="12"/>
        <item x="40"/>
        <item x="21"/>
        <item x="57"/>
        <item x="28"/>
        <item x="34"/>
        <item x="33"/>
        <item x="78"/>
        <item x="59"/>
        <item x="107"/>
        <item x="91"/>
        <item x="45"/>
        <item x="75"/>
        <item x="70"/>
        <item x="98"/>
        <item x="100"/>
        <item x="66"/>
        <item x="85"/>
        <item x="15"/>
        <item x="63"/>
        <item x="97"/>
        <item x="42"/>
        <item x="77"/>
        <item x="109"/>
        <item x="49"/>
        <item x="46"/>
        <item x="83"/>
        <item x="104"/>
        <item x="44"/>
        <item x="54"/>
        <item x="36"/>
        <item x="81"/>
        <item x="74"/>
        <item x="53"/>
        <item x="7"/>
        <item x="35"/>
        <item x="71"/>
        <item x="25"/>
        <item x="30"/>
        <item x="23"/>
        <item x="10"/>
        <item x="80"/>
        <item x="61"/>
        <item x="99"/>
        <item x="67"/>
        <item x="24"/>
        <item x="17"/>
        <item x="13"/>
        <item x="8"/>
        <item x="39"/>
        <item x="32"/>
        <item x="22"/>
        <item x="103"/>
        <item x="18"/>
        <item x="76"/>
        <item x="1"/>
        <item x="96"/>
        <item x="41"/>
        <item x="14"/>
        <item x="87"/>
        <item x="29"/>
        <item x="52"/>
        <item x="58"/>
        <item x="82"/>
        <item x="84"/>
        <item x="16"/>
        <item x="50"/>
        <item x="51"/>
        <item x="4"/>
        <item x="2"/>
        <item x="94"/>
        <item x="26"/>
        <item x="89"/>
        <item x="37"/>
        <item x="90"/>
        <item x="43"/>
        <item x="105"/>
        <item x="56"/>
        <item x="106"/>
        <item x="62"/>
        <item x="88"/>
        <item x="93"/>
        <item x="108"/>
        <item x="86"/>
        <item x="68"/>
        <item x="3"/>
        <item x="69"/>
        <item x="48"/>
        <item t="default"/>
      </items>
    </pivotField>
    <pivotField numFmtId="2" showAll="0"/>
    <pivotField numFmtId="2" showAll="0"/>
    <pivotField numFmtId="2" showAll="0"/>
    <pivotField numFmtId="10" showAll="0"/>
    <pivotField numFmtId="9" showAll="0"/>
    <pivotField showAll="0">
      <items count="4">
        <item x="1"/>
        <item x="2"/>
        <item x="0"/>
        <item t="default"/>
      </items>
    </pivotField>
    <pivotField showAll="0"/>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4">
        <item x="1"/>
        <item x="0"/>
        <item x="2"/>
        <item t="default"/>
      </items>
    </pivotField>
  </pivotFields>
  <rowFields count="1">
    <field x="0"/>
  </rowFields>
  <rowItems count="11">
    <i>
      <x v="17"/>
    </i>
    <i>
      <x v="25"/>
    </i>
    <i>
      <x v="30"/>
    </i>
    <i>
      <x v="35"/>
    </i>
    <i>
      <x v="38"/>
    </i>
    <i>
      <x v="41"/>
    </i>
    <i>
      <x v="58"/>
    </i>
    <i>
      <x v="64"/>
    </i>
    <i>
      <x v="104"/>
    </i>
    <i>
      <x v="106"/>
    </i>
    <i t="grand">
      <x/>
    </i>
  </rowItems>
  <colItems count="1">
    <i/>
  </colItems>
  <dataFields count="1">
    <dataField name="Ratings" fld="10" subtotal="average" baseField="0" baseItem="0" numFmtId="1"/>
  </dataField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49E082-4640-4590-B7E9-031C7D5A48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9" firstHeaderRow="1" firstDataRow="1" firstDataCol="1"/>
  <pivotFields count="12">
    <pivotField axis="axisRow" showAll="0" measureFilter="1">
      <items count="121">
        <item x="38"/>
        <item x="11"/>
        <item x="0"/>
        <item x="27"/>
        <item x="31"/>
        <item x="60"/>
        <item x="55"/>
        <item x="9"/>
        <item x="6"/>
        <item x="102"/>
        <item x="79"/>
        <item x="5"/>
        <item x="101"/>
        <item x="92"/>
        <item x="47"/>
        <item x="72"/>
        <item x="65"/>
        <item x="64"/>
        <item x="19"/>
        <item x="73"/>
        <item x="20"/>
        <item x="95"/>
        <item x="12"/>
        <item x="40"/>
        <item x="21"/>
        <item x="57"/>
        <item x="28"/>
        <item x="34"/>
        <item x="33"/>
        <item x="78"/>
        <item x="59"/>
        <item x="107"/>
        <item x="91"/>
        <item x="45"/>
        <item x="75"/>
        <item x="70"/>
        <item x="98"/>
        <item x="100"/>
        <item x="66"/>
        <item x="85"/>
        <item x="15"/>
        <item x="63"/>
        <item x="110"/>
        <item x="114"/>
        <item x="112"/>
        <item x="111"/>
        <item x="113"/>
        <item x="115"/>
        <item x="97"/>
        <item x="42"/>
        <item x="77"/>
        <item x="109"/>
        <item x="49"/>
        <item x="46"/>
        <item x="83"/>
        <item x="104"/>
        <item x="44"/>
        <item x="54"/>
        <item x="36"/>
        <item x="81"/>
        <item x="74"/>
        <item x="53"/>
        <item x="7"/>
        <item x="35"/>
        <item x="71"/>
        <item x="25"/>
        <item x="30"/>
        <item x="23"/>
        <item x="10"/>
        <item x="117"/>
        <item x="116"/>
        <item x="80"/>
        <item x="61"/>
        <item x="99"/>
        <item x="67"/>
        <item x="24"/>
        <item x="17"/>
        <item x="13"/>
        <item x="8"/>
        <item x="39"/>
        <item x="32"/>
        <item x="22"/>
        <item x="103"/>
        <item x="18"/>
        <item x="119"/>
        <item x="118"/>
        <item x="76"/>
        <item x="1"/>
        <item x="96"/>
        <item x="41"/>
        <item x="14"/>
        <item x="87"/>
        <item x="29"/>
        <item x="52"/>
        <item x="58"/>
        <item x="82"/>
        <item x="84"/>
        <item x="16"/>
        <item x="50"/>
        <item x="51"/>
        <item x="4"/>
        <item x="2"/>
        <item x="94"/>
        <item x="26"/>
        <item x="89"/>
        <item x="37"/>
        <item x="90"/>
        <item x="43"/>
        <item x="105"/>
        <item x="56"/>
        <item x="106"/>
        <item x="62"/>
        <item x="88"/>
        <item x="93"/>
        <item x="108"/>
        <item x="86"/>
        <item x="68"/>
        <item x="3"/>
        <item x="69"/>
        <item x="48"/>
        <item t="default"/>
      </items>
    </pivotField>
    <pivotField showAll="0"/>
    <pivotField showAll="0"/>
    <pivotField showAll="0"/>
    <pivotField dataField="1" showAll="0">
      <items count="107">
        <item x="97"/>
        <item x="42"/>
        <item x="102"/>
        <item x="78"/>
        <item x="48"/>
        <item x="101"/>
        <item x="91"/>
        <item x="50"/>
        <item x="73"/>
        <item x="93"/>
        <item x="90"/>
        <item x="5"/>
        <item x="83"/>
        <item x="57"/>
        <item x="85"/>
        <item x="81"/>
        <item x="26"/>
        <item x="18"/>
        <item x="10"/>
        <item x="95"/>
        <item x="62"/>
        <item x="49"/>
        <item x="23"/>
        <item x="6"/>
        <item x="98"/>
        <item x="2"/>
        <item x="4"/>
        <item x="55"/>
        <item x="34"/>
        <item x="33"/>
        <item x="66"/>
        <item x="28"/>
        <item x="27"/>
        <item x="14"/>
        <item x="37"/>
        <item x="99"/>
        <item x="11"/>
        <item x="31"/>
        <item x="100"/>
        <item x="22"/>
        <item x="25"/>
        <item x="77"/>
        <item x="3"/>
        <item x="7"/>
        <item x="0"/>
        <item x="45"/>
        <item x="38"/>
        <item x="64"/>
        <item x="35"/>
        <item x="51"/>
        <item x="36"/>
        <item x="96"/>
        <item x="13"/>
        <item x="21"/>
        <item x="94"/>
        <item x="41"/>
        <item x="72"/>
        <item x="67"/>
        <item x="86"/>
        <item x="68"/>
        <item x="52"/>
        <item x="9"/>
        <item x="63"/>
        <item x="65"/>
        <item x="16"/>
        <item x="75"/>
        <item x="29"/>
        <item x="69"/>
        <item x="12"/>
        <item x="71"/>
        <item x="89"/>
        <item x="104"/>
        <item x="1"/>
        <item x="70"/>
        <item x="88"/>
        <item x="32"/>
        <item x="53"/>
        <item x="87"/>
        <item x="74"/>
        <item x="92"/>
        <item x="82"/>
        <item x="39"/>
        <item x="80"/>
        <item x="84"/>
        <item x="79"/>
        <item x="17"/>
        <item x="76"/>
        <item x="54"/>
        <item x="44"/>
        <item x="60"/>
        <item x="19"/>
        <item x="40"/>
        <item x="43"/>
        <item x="47"/>
        <item x="15"/>
        <item x="30"/>
        <item x="61"/>
        <item x="20"/>
        <item x="58"/>
        <item x="24"/>
        <item x="8"/>
        <item x="59"/>
        <item x="56"/>
        <item x="46"/>
        <item x="103"/>
        <item x="105"/>
        <item t="default"/>
      </items>
    </pivotField>
    <pivotField showAll="0"/>
    <pivotField showAll="0"/>
    <pivotField showAll="0"/>
    <pivotField showAll="0"/>
    <pivotField showAll="0"/>
    <pivotField showAll="0"/>
    <pivotField showAll="0"/>
  </pivotFields>
  <rowFields count="1">
    <field x="0"/>
  </rowFields>
  <rowItems count="11">
    <i>
      <x v="20"/>
    </i>
    <i>
      <x v="30"/>
    </i>
    <i>
      <x v="31"/>
    </i>
    <i>
      <x v="58"/>
    </i>
    <i>
      <x v="66"/>
    </i>
    <i>
      <x v="72"/>
    </i>
    <i>
      <x v="75"/>
    </i>
    <i>
      <x v="78"/>
    </i>
    <i>
      <x v="94"/>
    </i>
    <i>
      <x v="109"/>
    </i>
    <i t="grand">
      <x/>
    </i>
  </rowItems>
  <colItems count="1">
    <i/>
  </colItems>
  <dataFields count="1">
    <dataField name="Discount Percentage" fld="4" subtotal="average" baseField="0" baseItem="0" numFmtId="1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B06582-160B-4788-A911-CA10DFC396DA}"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43:M48" firstHeaderRow="1" firstDataRow="1" firstDataCol="1"/>
  <pivotFields count="13">
    <pivotField dataField="1" showAll="0"/>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PRODUCT COUNT" fld="0"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B2C9B9-4697-4B48-8B71-6C0F0E2C195F}"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D55" firstHeaderRow="0" firstDataRow="1" firstDataCol="1"/>
  <pivotFields count="12">
    <pivotField showAll="0"/>
    <pivotField numFmtId="2" showAll="0"/>
    <pivotField numFmtId="2" showAll="0"/>
    <pivotField numFmtId="2" showAll="0"/>
    <pivotField dataField="1" numFmtId="10" showAll="0"/>
    <pivotField numFmtId="9" showAll="0"/>
    <pivotField axis="axisRow" showAll="0">
      <items count="4">
        <item x="1"/>
        <item x="2"/>
        <item x="0"/>
        <item t="default"/>
      </items>
    </pivotField>
    <pivotField showAll="0"/>
    <pivotField dataField="1"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items count="4">
        <item x="1"/>
        <item x="0"/>
        <item x="2"/>
        <item t="default"/>
      </items>
    </pivotField>
  </pivotFields>
  <rowFields count="1">
    <field x="6"/>
  </rowFields>
  <rowItems count="4">
    <i>
      <x/>
    </i>
    <i>
      <x v="1"/>
    </i>
    <i>
      <x v="2"/>
    </i>
    <i t="grand">
      <x/>
    </i>
  </rowItems>
  <colFields count="1">
    <field x="-2"/>
  </colFields>
  <colItems count="3">
    <i>
      <x/>
    </i>
    <i i="1">
      <x v="1"/>
    </i>
    <i i="2">
      <x v="2"/>
    </i>
  </colItems>
  <dataFields count="3">
    <dataField name="Average_reviews" fld="8" subtotal="average" baseField="6" baseItem="0" numFmtId="2"/>
    <dataField name="Averag_rating" fld="10" subtotal="average" baseField="6" baseItem="0" numFmtId="164"/>
    <dataField name="Average Discount %" fld="4" subtotal="average"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53C5F1-C67D-46FB-B157-7DCD3927F593}"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2:F45" firstHeaderRow="1" firstDataRow="1" firstDataCol="1"/>
  <pivotFields count="12">
    <pivotField axis="axisRow" showAll="0" measureFilter="1">
      <items count="111">
        <item x="38"/>
        <item x="11"/>
        <item x="0"/>
        <item x="27"/>
        <item x="31"/>
        <item x="60"/>
        <item x="55"/>
        <item x="9"/>
        <item x="6"/>
        <item x="102"/>
        <item x="79"/>
        <item x="5"/>
        <item x="101"/>
        <item x="92"/>
        <item x="47"/>
        <item x="72"/>
        <item x="65"/>
        <item x="64"/>
        <item x="19"/>
        <item x="73"/>
        <item x="20"/>
        <item x="95"/>
        <item x="12"/>
        <item x="40"/>
        <item x="21"/>
        <item x="57"/>
        <item x="28"/>
        <item x="34"/>
        <item x="33"/>
        <item x="78"/>
        <item x="59"/>
        <item x="107"/>
        <item x="91"/>
        <item x="45"/>
        <item x="75"/>
        <item x="70"/>
        <item x="98"/>
        <item x="100"/>
        <item x="66"/>
        <item x="85"/>
        <item x="15"/>
        <item x="63"/>
        <item x="97"/>
        <item x="42"/>
        <item x="77"/>
        <item x="109"/>
        <item x="49"/>
        <item x="46"/>
        <item x="83"/>
        <item x="104"/>
        <item x="44"/>
        <item x="54"/>
        <item x="36"/>
        <item x="81"/>
        <item x="74"/>
        <item x="53"/>
        <item x="7"/>
        <item x="35"/>
        <item x="71"/>
        <item x="25"/>
        <item x="30"/>
        <item x="23"/>
        <item x="10"/>
        <item x="80"/>
        <item x="61"/>
        <item x="99"/>
        <item x="67"/>
        <item x="24"/>
        <item x="17"/>
        <item x="13"/>
        <item x="8"/>
        <item x="39"/>
        <item x="32"/>
        <item x="22"/>
        <item x="103"/>
        <item x="18"/>
        <item x="76"/>
        <item x="1"/>
        <item x="96"/>
        <item x="41"/>
        <item x="14"/>
        <item x="87"/>
        <item x="29"/>
        <item x="52"/>
        <item x="58"/>
        <item x="82"/>
        <item x="84"/>
        <item x="16"/>
        <item x="50"/>
        <item x="51"/>
        <item x="4"/>
        <item x="2"/>
        <item x="94"/>
        <item x="26"/>
        <item x="89"/>
        <item x="37"/>
        <item x="90"/>
        <item x="43"/>
        <item x="105"/>
        <item x="56"/>
        <item x="106"/>
        <item x="62"/>
        <item x="88"/>
        <item x="93"/>
        <item x="108"/>
        <item x="86"/>
        <item x="68"/>
        <item x="3"/>
        <item x="69"/>
        <item x="48"/>
        <item t="default"/>
      </items>
    </pivotField>
    <pivotField numFmtId="2" showAll="0"/>
    <pivotField numFmtId="2" showAll="0"/>
    <pivotField numFmtId="2" showAll="0"/>
    <pivotField numFmtId="10" showAll="0"/>
    <pivotField numFmtId="9" showAll="0"/>
    <pivotField showAll="0">
      <items count="4">
        <item x="1"/>
        <item x="2"/>
        <item x="0"/>
        <item t="default"/>
      </items>
    </pivotField>
    <pivotField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pivotField showAll="0"/>
    <pivotField showAll="0">
      <items count="4">
        <item x="1"/>
        <item x="0"/>
        <item x="2"/>
        <item t="default"/>
      </items>
    </pivotField>
  </pivotFields>
  <rowFields count="1">
    <field x="0"/>
  </rowFields>
  <rowItems count="13">
    <i>
      <x/>
    </i>
    <i>
      <x v="2"/>
    </i>
    <i>
      <x v="40"/>
    </i>
    <i>
      <x v="44"/>
    </i>
    <i>
      <x v="52"/>
    </i>
    <i>
      <x v="56"/>
    </i>
    <i>
      <x v="57"/>
    </i>
    <i>
      <x v="63"/>
    </i>
    <i>
      <x v="65"/>
    </i>
    <i>
      <x v="76"/>
    </i>
    <i>
      <x v="87"/>
    </i>
    <i>
      <x v="104"/>
    </i>
    <i t="grand">
      <x/>
    </i>
  </rowItems>
  <colItems count="1">
    <i/>
  </colItems>
  <dataFields count="1">
    <dataField name="Reviews" fld="8" subtotal="average" baseField="0" baseItem="0"/>
  </dataField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F0E56E-6032-4903-B6B8-CC1228051757}" name="PivotTable1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2:B43" firstHeaderRow="1" firstDataRow="1" firstDataCol="1"/>
  <pivotFields count="12">
    <pivotField axis="axisRow" showAll="0" measureFilter="1">
      <items count="111">
        <item x="38"/>
        <item x="11"/>
        <item x="0"/>
        <item x="27"/>
        <item x="31"/>
        <item x="60"/>
        <item x="55"/>
        <item x="9"/>
        <item x="6"/>
        <item x="102"/>
        <item x="79"/>
        <item x="5"/>
        <item x="101"/>
        <item x="92"/>
        <item x="47"/>
        <item x="72"/>
        <item x="65"/>
        <item x="64"/>
        <item x="19"/>
        <item x="73"/>
        <item x="20"/>
        <item x="95"/>
        <item x="12"/>
        <item x="40"/>
        <item x="21"/>
        <item x="57"/>
        <item x="28"/>
        <item x="34"/>
        <item x="33"/>
        <item x="78"/>
        <item x="59"/>
        <item x="107"/>
        <item x="91"/>
        <item x="45"/>
        <item x="75"/>
        <item x="70"/>
        <item x="98"/>
        <item x="100"/>
        <item x="66"/>
        <item x="85"/>
        <item x="15"/>
        <item x="63"/>
        <item x="97"/>
        <item x="42"/>
        <item x="77"/>
        <item x="109"/>
        <item x="49"/>
        <item x="46"/>
        <item x="83"/>
        <item x="104"/>
        <item x="44"/>
        <item x="54"/>
        <item x="36"/>
        <item x="81"/>
        <item x="74"/>
        <item x="53"/>
        <item x="7"/>
        <item x="35"/>
        <item x="71"/>
        <item x="25"/>
        <item x="30"/>
        <item x="23"/>
        <item x="10"/>
        <item x="80"/>
        <item x="61"/>
        <item x="99"/>
        <item x="67"/>
        <item x="24"/>
        <item x="17"/>
        <item x="13"/>
        <item x="8"/>
        <item x="39"/>
        <item x="32"/>
        <item x="22"/>
        <item x="103"/>
        <item x="18"/>
        <item x="76"/>
        <item x="1"/>
        <item x="96"/>
        <item x="41"/>
        <item x="14"/>
        <item x="87"/>
        <item x="29"/>
        <item x="52"/>
        <item x="58"/>
        <item x="82"/>
        <item x="84"/>
        <item x="16"/>
        <item x="50"/>
        <item x="51"/>
        <item x="4"/>
        <item x="2"/>
        <item x="94"/>
        <item x="26"/>
        <item x="89"/>
        <item x="37"/>
        <item x="90"/>
        <item x="43"/>
        <item x="105"/>
        <item x="56"/>
        <item x="106"/>
        <item x="62"/>
        <item x="88"/>
        <item x="93"/>
        <item x="108"/>
        <item x="86"/>
        <item x="68"/>
        <item x="3"/>
        <item x="69"/>
        <item x="48"/>
        <item t="default"/>
      </items>
    </pivotField>
    <pivotField numFmtId="2" showAll="0"/>
    <pivotField numFmtId="2" showAll="0"/>
    <pivotField numFmtId="2" showAll="0"/>
    <pivotField numFmtId="10" showAll="0"/>
    <pivotField numFmtId="9" showAll="0"/>
    <pivotField showAll="0">
      <items count="4">
        <item x="1"/>
        <item x="2"/>
        <item x="0"/>
        <item t="default"/>
      </items>
    </pivotField>
    <pivotField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pivotField showAll="0"/>
    <pivotField showAll="0">
      <items count="4">
        <item x="1"/>
        <item x="0"/>
        <item x="2"/>
        <item t="default"/>
      </items>
    </pivotField>
  </pivotFields>
  <rowFields count="1">
    <field x="0"/>
  </rowFields>
  <rowItems count="11">
    <i>
      <x v="1"/>
    </i>
    <i>
      <x v="5"/>
    </i>
    <i>
      <x v="8"/>
    </i>
    <i>
      <x v="18"/>
    </i>
    <i>
      <x v="26"/>
    </i>
    <i>
      <x v="27"/>
    </i>
    <i>
      <x v="28"/>
    </i>
    <i>
      <x v="59"/>
    </i>
    <i>
      <x v="91"/>
    </i>
    <i>
      <x v="95"/>
    </i>
    <i t="grand">
      <x/>
    </i>
  </rowItems>
  <colItems count="1">
    <i/>
  </colItems>
  <dataFields count="1">
    <dataField name="Reviews" fld="8" subtotal="average"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EAD50EFD-F0F7-499B-BCD0-E96D443C66BA}" sourceName="Discount_category">
  <pivotTables>
    <pivotTable tabId="2" name="PivotTable17"/>
    <pivotTable tabId="2" name="PivotTable13"/>
    <pivotTable tabId="2" name="PivotTable14"/>
    <pivotTable tabId="2" name="PivotTable15"/>
    <pivotTable tabId="2" name="PivotTable16"/>
  </pivotTables>
  <data>
    <tabular pivotCacheId="175385852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Rating" xr10:uid="{E589CDA4-B0E3-4220-BD21-708082D76442}" sourceName="category Rating">
  <pivotTables>
    <pivotTable tabId="2" name="PivotTable17"/>
    <pivotTable tabId="2" name="PivotTable13"/>
    <pivotTable tabId="2" name="PivotTable14"/>
    <pivotTable tabId="2" name="PivotTable15"/>
    <pivotTable tabId="2" name="PivotTable16"/>
  </pivotTables>
  <data>
    <tabular pivotCacheId="175385852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_category" xr10:uid="{6EF88D01-42D3-4660-A93E-AA1DC94129E2}" cache="Slicer_Discount_category" caption="Discount_category" rowHeight="251883"/>
  <slicer name="category Rating" xr10:uid="{E3741DBF-999C-49A4-A8CA-0D1741A0CBE2}" cache="Slicer_category_Rating" caption="category Rating"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_category 1" xr10:uid="{612F0D1F-89A4-4930-8ECA-D8ACAF2D64ED}" cache="Slicer_Discount_category" caption="Discount_category" rowHeight="251883"/>
  <slicer name="category Rating 1" xr10:uid="{1B2122BD-B20A-431E-984A-0A67422C7AE6}" cache="Slicer_category_Rating" caption="category Rating"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4B1E8-335B-46E7-9A56-C8480CDEF083}">
  <dimension ref="A1:R154"/>
  <sheetViews>
    <sheetView tabSelected="1" topLeftCell="G1" zoomScaleNormal="100" workbookViewId="0">
      <pane ySplit="1" topLeftCell="A68" activePane="bottomLeft" state="frozen"/>
      <selection pane="bottomLeft" activeCell="M8" sqref="M8"/>
    </sheetView>
  </sheetViews>
  <sheetFormatPr defaultRowHeight="14.5" x14ac:dyDescent="0.35"/>
  <cols>
    <col min="1" max="1" width="45.453125" customWidth="1"/>
    <col min="2" max="2" width="24.453125" style="4" customWidth="1"/>
    <col min="3" max="3" width="8.7265625" style="4" bestFit="1" customWidth="1"/>
    <col min="4" max="4" width="12.08984375" style="4" bestFit="1" customWidth="1"/>
    <col min="5" max="5" width="12" style="6" bestFit="1" customWidth="1"/>
    <col min="6" max="6" width="9" bestFit="1" customWidth="1"/>
    <col min="7" max="7" width="17.90625" bestFit="1" customWidth="1"/>
    <col min="8" max="8" width="7.26953125" bestFit="1" customWidth="1"/>
    <col min="9" max="9" width="11" bestFit="1" customWidth="1"/>
    <col min="10" max="10" width="9.6328125" bestFit="1" customWidth="1"/>
    <col min="11" max="11" width="10.36328125" bestFit="1" customWidth="1"/>
    <col min="12" max="12" width="14.90625" bestFit="1" customWidth="1"/>
    <col min="13" max="13" width="25.7265625" customWidth="1"/>
  </cols>
  <sheetData>
    <row r="1" spans="1:13" s="2" customFormat="1" ht="16" x14ac:dyDescent="0.4">
      <c r="A1" s="2" t="s">
        <v>0</v>
      </c>
      <c r="B1" s="3" t="s">
        <v>1</v>
      </c>
      <c r="C1" s="3" t="s">
        <v>2</v>
      </c>
      <c r="D1" s="3" t="s">
        <v>136</v>
      </c>
      <c r="E1" s="5" t="s">
        <v>137</v>
      </c>
      <c r="F1" s="2" t="s">
        <v>3</v>
      </c>
      <c r="G1" s="2" t="s">
        <v>142</v>
      </c>
      <c r="H1" s="2" t="s">
        <v>4</v>
      </c>
      <c r="I1" s="2" t="s">
        <v>138</v>
      </c>
      <c r="J1" s="2" t="s">
        <v>140</v>
      </c>
      <c r="K1" s="2" t="s">
        <v>139</v>
      </c>
      <c r="L1" s="2" t="s">
        <v>141</v>
      </c>
      <c r="M1" s="2" t="s">
        <v>179</v>
      </c>
    </row>
    <row r="2" spans="1:13" x14ac:dyDescent="0.35">
      <c r="A2" t="s">
        <v>5</v>
      </c>
      <c r="B2" s="4">
        <v>950</v>
      </c>
      <c r="C2" s="4">
        <v>1525</v>
      </c>
      <c r="D2" s="4">
        <f>C2-B2</f>
        <v>575</v>
      </c>
      <c r="E2" s="6">
        <f>D2/C2</f>
        <v>0.37704918032786883</v>
      </c>
      <c r="F2" s="1">
        <v>0.38</v>
      </c>
      <c r="G2" s="1" t="str" cm="1">
        <f t="array" ref="G2">_xlfn.IFS(F2&lt;20%, "LOW_DISCOUNT", F2&lt;40%, "MEDIUM_DISCOUNT", F2&gt;=40%,"HIGH_DISCOUNT")</f>
        <v>MEDIUM_DISCOUNT</v>
      </c>
      <c r="H2">
        <v>-2</v>
      </c>
      <c r="I2">
        <f>IF(H2="", "", ABS(H2))</f>
        <v>2</v>
      </c>
      <c r="J2" t="s">
        <v>6</v>
      </c>
      <c r="K2">
        <f>IF(J2="","",VALUE(LEFT(J2, FIND(" ", J2))))</f>
        <v>4.5</v>
      </c>
      <c r="L2" t="str" cm="1">
        <f t="array" ref="L2">_xlfn.IFS(K2="","",K2&lt;3,"POOR", K2&lt;4.5,"AVERAGE", K2&gt;=4.5,"EXCELLENT")</f>
        <v>EXCELLENT</v>
      </c>
      <c r="M2">
        <f>IF(K2="","",($K2*$P$42)+($I2*$P$43)+($F2*$P$44))</f>
        <v>2.4700000000000002</v>
      </c>
    </row>
    <row r="3" spans="1:13" x14ac:dyDescent="0.35">
      <c r="A3" t="s">
        <v>7</v>
      </c>
      <c r="B3" s="4">
        <v>527</v>
      </c>
      <c r="C3" s="4">
        <v>999</v>
      </c>
      <c r="D3" s="4">
        <f t="shared" ref="D3:D66" si="0">C3-B3</f>
        <v>472</v>
      </c>
      <c r="E3" s="6">
        <f t="shared" ref="E3:E66" si="1">D3/C3</f>
        <v>0.47247247247247248</v>
      </c>
      <c r="F3" s="1">
        <v>0.47</v>
      </c>
      <c r="G3" s="1" t="str" cm="1">
        <f t="array" ref="G3">_xlfn.IFS(F3&lt;20%, "LOW_DISCOUNT", F3&lt;40%, "MEDIUM_DISCOUNT", F3&gt;=40%,"HIGH_DISCOUNT")</f>
        <v>HIGH_DISCOUNT</v>
      </c>
      <c r="H3">
        <v>-14</v>
      </c>
      <c r="I3">
        <f t="shared" ref="I3:I66" si="2">IF(H3="", "", ABS(H3))</f>
        <v>14</v>
      </c>
      <c r="J3" t="s">
        <v>8</v>
      </c>
      <c r="K3">
        <f t="shared" ref="K3:K66" si="3">IF(J3="","",VALUE(LEFT(J3, FIND(" ", J3))))</f>
        <v>4.0999999999999996</v>
      </c>
      <c r="L3" t="str" cm="1">
        <f t="array" ref="L3">_xlfn.IFS(K3="","",K3&lt;3,"POOR", K3&lt;4.5,"AVERAGE", K3&gt;=4.5,"EXCELLENT")</f>
        <v>AVERAGE</v>
      </c>
      <c r="M3">
        <f t="shared" ref="M3:M66" si="4">IF(K3="","",($K3*$P$42)+($I3*$P$43)+($F3*$P$44))</f>
        <v>7.1524999999999999</v>
      </c>
    </row>
    <row r="4" spans="1:13" x14ac:dyDescent="0.35">
      <c r="A4" t="s">
        <v>9</v>
      </c>
      <c r="B4" s="4">
        <v>2199</v>
      </c>
      <c r="C4" s="4">
        <v>2923</v>
      </c>
      <c r="D4" s="4">
        <f t="shared" si="0"/>
        <v>724</v>
      </c>
      <c r="E4" s="6">
        <f t="shared" si="1"/>
        <v>0.24769072870338693</v>
      </c>
      <c r="F4" s="1">
        <v>0.25</v>
      </c>
      <c r="G4" s="1" t="str" cm="1">
        <f t="array" ref="G4">_xlfn.IFS(F4&lt;20%, "LOW_DISCOUNT", F4&lt;40%, "MEDIUM_DISCOUNT", F4&gt;=40%,"HIGH_DISCOUNT")</f>
        <v>MEDIUM_DISCOUNT</v>
      </c>
      <c r="H4">
        <v>-24</v>
      </c>
      <c r="I4">
        <f t="shared" si="2"/>
        <v>24</v>
      </c>
      <c r="J4" t="s">
        <v>10</v>
      </c>
      <c r="K4">
        <f t="shared" si="3"/>
        <v>4.5999999999999996</v>
      </c>
      <c r="L4" t="str" cm="1">
        <f t="array" ref="L4">_xlfn.IFS(K4="","",K4&lt;3,"POOR", K4&lt;4.5,"AVERAGE", K4&gt;=4.5,"EXCELLENT")</f>
        <v>EXCELLENT</v>
      </c>
      <c r="M4">
        <f t="shared" si="4"/>
        <v>11.272500000000001</v>
      </c>
    </row>
    <row r="5" spans="1:13" x14ac:dyDescent="0.35">
      <c r="A5" t="s">
        <v>11</v>
      </c>
      <c r="B5" s="4">
        <v>1580</v>
      </c>
      <c r="C5" s="4">
        <v>2499</v>
      </c>
      <c r="D5" s="4">
        <f t="shared" si="0"/>
        <v>919</v>
      </c>
      <c r="E5" s="6">
        <f t="shared" si="1"/>
        <v>0.36774709883953582</v>
      </c>
      <c r="F5" s="1">
        <v>0.37</v>
      </c>
      <c r="G5" s="1" t="str" cm="1">
        <f t="array" ref="G5">_xlfn.IFS(F5&lt;20%, "LOW_DISCOUNT", F5&lt;40%, "MEDIUM_DISCOUNT", F5&gt;=40%,"HIGH_DISCOUNT")</f>
        <v>MEDIUM_DISCOUNT</v>
      </c>
      <c r="H5">
        <v>-7</v>
      </c>
      <c r="I5">
        <f t="shared" si="2"/>
        <v>7</v>
      </c>
      <c r="J5" t="s">
        <v>12</v>
      </c>
      <c r="K5">
        <f t="shared" si="3"/>
        <v>4.7</v>
      </c>
      <c r="L5" t="str" cm="1">
        <f t="array" ref="L5">_xlfn.IFS(K5="","",K5&lt;3,"POOR", K5&lt;4.5,"AVERAGE", K5&gt;=4.5,"EXCELLENT")</f>
        <v>EXCELLENT</v>
      </c>
      <c r="M5">
        <f t="shared" si="4"/>
        <v>4.5375000000000005</v>
      </c>
    </row>
    <row r="6" spans="1:13" x14ac:dyDescent="0.35">
      <c r="A6" t="s">
        <v>13</v>
      </c>
      <c r="B6" s="4">
        <v>1740</v>
      </c>
      <c r="C6" s="4">
        <v>2356</v>
      </c>
      <c r="D6" s="4">
        <f t="shared" si="0"/>
        <v>616</v>
      </c>
      <c r="E6" s="6">
        <f t="shared" si="1"/>
        <v>0.26146010186757218</v>
      </c>
      <c r="F6" s="1">
        <v>0.26</v>
      </c>
      <c r="G6" s="1" t="str" cm="1">
        <f t="array" ref="G6">_xlfn.IFS(F6&lt;20%, "LOW_DISCOUNT", F6&lt;40%, "MEDIUM_DISCOUNT", F6&gt;=40%,"HIGH_DISCOUNT")</f>
        <v>MEDIUM_DISCOUNT</v>
      </c>
      <c r="H6">
        <v>-5</v>
      </c>
      <c r="I6">
        <f t="shared" si="2"/>
        <v>5</v>
      </c>
      <c r="J6" t="s">
        <v>14</v>
      </c>
      <c r="K6">
        <f t="shared" si="3"/>
        <v>4.8</v>
      </c>
      <c r="L6" t="str" cm="1">
        <f t="array" ref="L6">_xlfn.IFS(K6="","",K6&lt;3,"POOR", K6&lt;4.5,"AVERAGE", K6&gt;=4.5,"EXCELLENT")</f>
        <v>EXCELLENT</v>
      </c>
      <c r="M6">
        <f t="shared" si="4"/>
        <v>3.7449999999999997</v>
      </c>
    </row>
    <row r="7" spans="1:13" x14ac:dyDescent="0.35">
      <c r="A7" t="s">
        <v>15</v>
      </c>
      <c r="B7" s="4">
        <v>2999</v>
      </c>
      <c r="C7" s="4">
        <v>3290</v>
      </c>
      <c r="D7" s="4">
        <f t="shared" si="0"/>
        <v>291</v>
      </c>
      <c r="E7" s="6">
        <f t="shared" si="1"/>
        <v>8.8449848024316116E-2</v>
      </c>
      <c r="F7" s="1">
        <v>0.09</v>
      </c>
      <c r="G7" s="1" t="str" cm="1">
        <f t="array" ref="G7">_xlfn.IFS(F7&lt;20%, "LOW_DISCOUNT", F7&lt;40%, "MEDIUM_DISCOUNT", F7&gt;=40%,"HIGH_DISCOUNT")</f>
        <v>LOW_DISCOUNT</v>
      </c>
      <c r="H7">
        <v>-15</v>
      </c>
      <c r="I7">
        <f t="shared" si="2"/>
        <v>15</v>
      </c>
      <c r="J7" t="s">
        <v>16</v>
      </c>
      <c r="K7">
        <f t="shared" si="3"/>
        <v>4</v>
      </c>
      <c r="L7" t="str" cm="1">
        <f t="array" ref="L7">_xlfn.IFS(K7="","",K7&lt;3,"POOR", K7&lt;4.5,"AVERAGE", K7&gt;=4.5,"EXCELLENT")</f>
        <v>AVERAGE</v>
      </c>
      <c r="M7">
        <f t="shared" si="4"/>
        <v>7.4225000000000003</v>
      </c>
    </row>
    <row r="8" spans="1:13" x14ac:dyDescent="0.35">
      <c r="A8" t="s">
        <v>17</v>
      </c>
      <c r="B8" s="4">
        <v>2319</v>
      </c>
      <c r="C8" s="4">
        <v>3032</v>
      </c>
      <c r="D8" s="4">
        <f t="shared" si="0"/>
        <v>713</v>
      </c>
      <c r="E8" s="6">
        <f t="shared" si="1"/>
        <v>0.23515831134564644</v>
      </c>
      <c r="F8" s="1">
        <v>0.24</v>
      </c>
      <c r="G8" s="1" t="str" cm="1">
        <f t="array" ref="G8">_xlfn.IFS(F8&lt;20%, "LOW_DISCOUNT", F8&lt;40%, "MEDIUM_DISCOUNT", F8&gt;=40%,"HIGH_DISCOUNT")</f>
        <v>MEDIUM_DISCOUNT</v>
      </c>
      <c r="H8">
        <v>-55</v>
      </c>
      <c r="I8">
        <f t="shared" si="2"/>
        <v>55</v>
      </c>
      <c r="J8" t="s">
        <v>10</v>
      </c>
      <c r="K8">
        <f t="shared" si="3"/>
        <v>4.5999999999999996</v>
      </c>
      <c r="L8" t="str" cm="1">
        <f t="array" ref="L8">_xlfn.IFS(K8="","",K8&lt;3,"POOR", K8&lt;4.5,"AVERAGE", K8&gt;=4.5,"EXCELLENT")</f>
        <v>EXCELLENT</v>
      </c>
      <c r="M8">
        <f t="shared" si="4"/>
        <v>23.669999999999998</v>
      </c>
    </row>
    <row r="9" spans="1:13" x14ac:dyDescent="0.35">
      <c r="A9" t="s">
        <v>18</v>
      </c>
      <c r="B9" s="4">
        <v>988</v>
      </c>
      <c r="C9" s="4">
        <v>1580</v>
      </c>
      <c r="D9" s="4">
        <f t="shared" si="0"/>
        <v>592</v>
      </c>
      <c r="E9" s="6">
        <f t="shared" si="1"/>
        <v>0.37468354430379747</v>
      </c>
      <c r="F9" s="1">
        <v>0.37</v>
      </c>
      <c r="G9" s="1" t="str" cm="1">
        <f t="array" ref="G9">_xlfn.IFS(F9&lt;20%, "LOW_DISCOUNT", F9&lt;40%, "MEDIUM_DISCOUNT", F9&gt;=40%,"HIGH_DISCOUNT")</f>
        <v>MEDIUM_DISCOUNT</v>
      </c>
      <c r="H9">
        <v>-2</v>
      </c>
      <c r="I9">
        <f t="shared" si="2"/>
        <v>2</v>
      </c>
      <c r="J9" t="s">
        <v>16</v>
      </c>
      <c r="K9">
        <f t="shared" si="3"/>
        <v>4</v>
      </c>
      <c r="L9" t="str" cm="1">
        <f t="array" ref="L9">_xlfn.IFS(K9="","",K9&lt;3,"POOR", K9&lt;4.5,"AVERAGE", K9&gt;=4.5,"EXCELLENT")</f>
        <v>AVERAGE</v>
      </c>
      <c r="M9">
        <f t="shared" si="4"/>
        <v>2.2925</v>
      </c>
    </row>
    <row r="10" spans="1:13" x14ac:dyDescent="0.35">
      <c r="A10" t="s">
        <v>19</v>
      </c>
      <c r="B10" s="4">
        <v>1274</v>
      </c>
      <c r="C10" s="4">
        <v>2800</v>
      </c>
      <c r="D10" s="4">
        <f t="shared" si="0"/>
        <v>1526</v>
      </c>
      <c r="E10" s="6">
        <f t="shared" si="1"/>
        <v>0.54500000000000004</v>
      </c>
      <c r="F10" s="1">
        <v>0.55000000000000004</v>
      </c>
      <c r="G10" s="1" t="str" cm="1">
        <f t="array" ref="G10">_xlfn.IFS(F10&lt;20%, "LOW_DISCOUNT", F10&lt;40%, "MEDIUM_DISCOUNT", F10&gt;=40%,"HIGH_DISCOUNT")</f>
        <v>HIGH_DISCOUNT</v>
      </c>
      <c r="H10">
        <v>-5</v>
      </c>
      <c r="I10">
        <f t="shared" si="2"/>
        <v>5</v>
      </c>
      <c r="J10" t="s">
        <v>14</v>
      </c>
      <c r="K10">
        <f t="shared" si="3"/>
        <v>4.8</v>
      </c>
      <c r="L10" t="str" cm="1">
        <f t="array" ref="L10">_xlfn.IFS(K10="","",K10&lt;3,"POOR", K10&lt;4.5,"AVERAGE", K10&gt;=4.5,"EXCELLENT")</f>
        <v>EXCELLENT</v>
      </c>
      <c r="M10">
        <f t="shared" si="4"/>
        <v>3.8174999999999999</v>
      </c>
    </row>
    <row r="11" spans="1:13" x14ac:dyDescent="0.35">
      <c r="A11" t="s">
        <v>20</v>
      </c>
      <c r="B11" s="4">
        <v>1600</v>
      </c>
      <c r="C11" s="4">
        <v>2929</v>
      </c>
      <c r="D11" s="4">
        <f t="shared" si="0"/>
        <v>1329</v>
      </c>
      <c r="E11" s="6">
        <f t="shared" si="1"/>
        <v>0.45373847729600547</v>
      </c>
      <c r="F11" s="1">
        <v>0.45</v>
      </c>
      <c r="G11" s="1" t="str" cm="1">
        <f t="array" ref="G11">_xlfn.IFS(F11&lt;20%, "LOW_DISCOUNT", F11&lt;40%, "MEDIUM_DISCOUNT", F11&gt;=40%,"HIGH_DISCOUNT")</f>
        <v>HIGH_DISCOUNT</v>
      </c>
      <c r="H11">
        <v>-5</v>
      </c>
      <c r="I11">
        <f t="shared" si="2"/>
        <v>5</v>
      </c>
      <c r="J11" t="s">
        <v>21</v>
      </c>
      <c r="K11">
        <f t="shared" si="3"/>
        <v>3.8</v>
      </c>
      <c r="L11" t="str" cm="1">
        <f t="array" ref="L11">_xlfn.IFS(K11="","",K11&lt;3,"POOR", K11&lt;4.5,"AVERAGE", K11&gt;=4.5,"EXCELLENT")</f>
        <v>AVERAGE</v>
      </c>
      <c r="M11">
        <f t="shared" si="4"/>
        <v>3.4424999999999999</v>
      </c>
    </row>
    <row r="12" spans="1:13" x14ac:dyDescent="0.35">
      <c r="A12" t="s">
        <v>22</v>
      </c>
      <c r="B12" s="4">
        <v>799</v>
      </c>
      <c r="C12" s="4">
        <v>999</v>
      </c>
      <c r="D12" s="4">
        <f t="shared" si="0"/>
        <v>200</v>
      </c>
      <c r="E12" s="6">
        <f t="shared" si="1"/>
        <v>0.20020020020020021</v>
      </c>
      <c r="F12" s="1">
        <v>0.2</v>
      </c>
      <c r="G12" s="1" t="str" cm="1">
        <f t="array" ref="G12">_xlfn.IFS(F12&lt;20%, "LOW_DISCOUNT", F12&lt;40%, "MEDIUM_DISCOUNT", F12&gt;=40%,"HIGH_DISCOUNT")</f>
        <v>MEDIUM_DISCOUNT</v>
      </c>
      <c r="H12">
        <v>-12</v>
      </c>
      <c r="I12">
        <f t="shared" si="2"/>
        <v>12</v>
      </c>
      <c r="J12" t="s">
        <v>8</v>
      </c>
      <c r="K12">
        <f t="shared" si="3"/>
        <v>4.0999999999999996</v>
      </c>
      <c r="L12" t="str" cm="1">
        <f t="array" ref="L12">_xlfn.IFS(K12="","",K12&lt;3,"POOR", K12&lt;4.5,"AVERAGE", K12&gt;=4.5,"EXCELLENT")</f>
        <v>AVERAGE</v>
      </c>
      <c r="M12">
        <f t="shared" si="4"/>
        <v>6.2850000000000001</v>
      </c>
    </row>
    <row r="13" spans="1:13" x14ac:dyDescent="0.35">
      <c r="A13" t="s">
        <v>23</v>
      </c>
      <c r="B13" s="4">
        <v>990</v>
      </c>
      <c r="C13" s="4">
        <v>1500</v>
      </c>
      <c r="D13" s="4">
        <f t="shared" si="0"/>
        <v>510</v>
      </c>
      <c r="E13" s="6">
        <f t="shared" si="1"/>
        <v>0.34</v>
      </c>
      <c r="F13" s="1">
        <v>0.34</v>
      </c>
      <c r="G13" s="1" t="str" cm="1">
        <f t="array" ref="G13">_xlfn.IFS(F13&lt;20%, "LOW_DISCOUNT", F13&lt;40%, "MEDIUM_DISCOUNT", F13&gt;=40%,"HIGH_DISCOUNT")</f>
        <v>MEDIUM_DISCOUNT</v>
      </c>
      <c r="H13">
        <v>-39</v>
      </c>
      <c r="I13">
        <f t="shared" si="2"/>
        <v>39</v>
      </c>
      <c r="J13" t="s">
        <v>12</v>
      </c>
      <c r="K13">
        <f t="shared" si="3"/>
        <v>4.7</v>
      </c>
      <c r="L13" t="str" cm="1">
        <f t="array" ref="L13">_xlfn.IFS(K13="","",K13&lt;3,"POOR", K13&lt;4.5,"AVERAGE", K13&gt;=4.5,"EXCELLENT")</f>
        <v>EXCELLENT</v>
      </c>
      <c r="M13">
        <f t="shared" si="4"/>
        <v>17.330000000000002</v>
      </c>
    </row>
    <row r="14" spans="1:13" x14ac:dyDescent="0.35">
      <c r="A14" t="s">
        <v>24</v>
      </c>
      <c r="B14" s="4">
        <v>552</v>
      </c>
      <c r="C14" s="4">
        <v>1035</v>
      </c>
      <c r="D14" s="4">
        <f t="shared" si="0"/>
        <v>483</v>
      </c>
      <c r="E14" s="6">
        <f t="shared" si="1"/>
        <v>0.46666666666666667</v>
      </c>
      <c r="F14" s="1">
        <v>0.47</v>
      </c>
      <c r="G14" s="1" t="str" cm="1">
        <f t="array" ref="G14">_xlfn.IFS(F14&lt;20%, "LOW_DISCOUNT", F14&lt;40%, "MEDIUM_DISCOUNT", F14&gt;=40%,"HIGH_DISCOUNT")</f>
        <v>HIGH_DISCOUNT</v>
      </c>
      <c r="H14">
        <v>-12</v>
      </c>
      <c r="I14">
        <f t="shared" si="2"/>
        <v>12</v>
      </c>
      <c r="J14" t="s">
        <v>14</v>
      </c>
      <c r="K14">
        <f t="shared" si="3"/>
        <v>4.8</v>
      </c>
      <c r="L14" t="str" cm="1">
        <f t="array" ref="L14">_xlfn.IFS(K14="","",K14&lt;3,"POOR", K14&lt;4.5,"AVERAGE", K14&gt;=4.5,"EXCELLENT")</f>
        <v>EXCELLENT</v>
      </c>
      <c r="M14">
        <f t="shared" si="4"/>
        <v>6.5975000000000001</v>
      </c>
    </row>
    <row r="15" spans="1:13" x14ac:dyDescent="0.35">
      <c r="A15" t="s">
        <v>25</v>
      </c>
      <c r="B15" s="4">
        <v>501</v>
      </c>
      <c r="C15" s="4">
        <v>860</v>
      </c>
      <c r="D15" s="4">
        <f t="shared" si="0"/>
        <v>359</v>
      </c>
      <c r="E15" s="6">
        <f t="shared" si="1"/>
        <v>0.41744186046511628</v>
      </c>
      <c r="F15" s="1">
        <v>0.42</v>
      </c>
      <c r="G15" s="1" t="str" cm="1">
        <f t="array" ref="G15">_xlfn.IFS(F15&lt;20%, "LOW_DISCOUNT", F15&lt;40%, "MEDIUM_DISCOUNT", F15&gt;=40%,"HIGH_DISCOUNT")</f>
        <v>HIGH_DISCOUNT</v>
      </c>
      <c r="H15">
        <v>-6</v>
      </c>
      <c r="I15">
        <f t="shared" si="2"/>
        <v>6</v>
      </c>
      <c r="J15" t="s">
        <v>6</v>
      </c>
      <c r="K15">
        <f t="shared" si="3"/>
        <v>4.5</v>
      </c>
      <c r="L15" t="str" cm="1">
        <f t="array" ref="L15">_xlfn.IFS(K15="","",K15&lt;3,"POOR", K15&lt;4.5,"AVERAGE", K15&gt;=4.5,"EXCELLENT")</f>
        <v>EXCELLENT</v>
      </c>
      <c r="M15">
        <f t="shared" si="4"/>
        <v>4.080000000000001</v>
      </c>
    </row>
    <row r="16" spans="1:13" x14ac:dyDescent="0.35">
      <c r="A16" t="s">
        <v>26</v>
      </c>
      <c r="B16" s="4">
        <v>1680</v>
      </c>
      <c r="C16" s="4">
        <v>2499</v>
      </c>
      <c r="D16" s="4">
        <f t="shared" si="0"/>
        <v>819</v>
      </c>
      <c r="E16" s="6">
        <f t="shared" si="1"/>
        <v>0.32773109243697479</v>
      </c>
      <c r="F16" s="1">
        <v>0.33</v>
      </c>
      <c r="G16" s="1" t="str" cm="1">
        <f t="array" ref="G16">_xlfn.IFS(F16&lt;20%, "LOW_DISCOUNT", F16&lt;40%, "MEDIUM_DISCOUNT", F16&gt;=40%,"HIGH_DISCOUNT")</f>
        <v>MEDIUM_DISCOUNT</v>
      </c>
      <c r="H16">
        <v>-9</v>
      </c>
      <c r="I16">
        <f t="shared" si="2"/>
        <v>9</v>
      </c>
      <c r="J16" t="s">
        <v>27</v>
      </c>
      <c r="K16">
        <f t="shared" si="3"/>
        <v>4.2</v>
      </c>
      <c r="L16" t="str" cm="1">
        <f t="array" ref="L16">_xlfn.IFS(K16="","",K16&lt;3,"POOR", K16&lt;4.5,"AVERAGE", K16&gt;=4.5,"EXCELLENT")</f>
        <v>AVERAGE</v>
      </c>
      <c r="M16">
        <f t="shared" si="4"/>
        <v>5.1524999999999999</v>
      </c>
    </row>
    <row r="17" spans="1:13" x14ac:dyDescent="0.35">
      <c r="A17" t="s">
        <v>28</v>
      </c>
      <c r="B17" s="4">
        <v>332</v>
      </c>
      <c r="C17" s="4">
        <v>684</v>
      </c>
      <c r="D17" s="4">
        <f t="shared" si="0"/>
        <v>352</v>
      </c>
      <c r="E17" s="6">
        <f t="shared" si="1"/>
        <v>0.51461988304093564</v>
      </c>
      <c r="F17" s="1">
        <v>0.51</v>
      </c>
      <c r="G17" s="1" t="str" cm="1">
        <f t="array" ref="G17">_xlfn.IFS(F17&lt;20%, "LOW_DISCOUNT", F17&lt;40%, "MEDIUM_DISCOUNT", F17&gt;=40%,"HIGH_DISCOUNT")</f>
        <v>HIGH_DISCOUNT</v>
      </c>
      <c r="H17">
        <v>-2</v>
      </c>
      <c r="I17">
        <f t="shared" si="2"/>
        <v>2</v>
      </c>
      <c r="J17" t="s">
        <v>29</v>
      </c>
      <c r="K17">
        <f t="shared" si="3"/>
        <v>5</v>
      </c>
      <c r="L17" t="str" cm="1">
        <f t="array" ref="L17">_xlfn.IFS(K17="","",K17&lt;3,"POOR", K17&lt;4.5,"AVERAGE", K17&gt;=4.5,"EXCELLENT")</f>
        <v>EXCELLENT</v>
      </c>
      <c r="M17">
        <f t="shared" si="4"/>
        <v>2.6774999999999998</v>
      </c>
    </row>
    <row r="18" spans="1:13" x14ac:dyDescent="0.35">
      <c r="A18" t="s">
        <v>30</v>
      </c>
      <c r="B18" s="4">
        <v>195</v>
      </c>
      <c r="C18" s="4">
        <v>360</v>
      </c>
      <c r="D18" s="4">
        <f t="shared" si="0"/>
        <v>165</v>
      </c>
      <c r="E18" s="6">
        <f t="shared" si="1"/>
        <v>0.45833333333333331</v>
      </c>
      <c r="F18" s="1">
        <v>0.46</v>
      </c>
      <c r="G18" s="1" t="str" cm="1">
        <f t="array" ref="G18">_xlfn.IFS(F18&lt;20%, "LOW_DISCOUNT", F18&lt;40%, "MEDIUM_DISCOUNT", F18&gt;=40%,"HIGH_DISCOUNT")</f>
        <v>HIGH_DISCOUNT</v>
      </c>
      <c r="H18">
        <v>-2</v>
      </c>
      <c r="I18">
        <f t="shared" si="2"/>
        <v>2</v>
      </c>
      <c r="J18" t="s">
        <v>29</v>
      </c>
      <c r="K18">
        <f t="shared" si="3"/>
        <v>5</v>
      </c>
      <c r="L18" t="str" cm="1">
        <f t="array" ref="L18">_xlfn.IFS(K18="","",K18&lt;3,"POOR", K18&lt;4.5,"AVERAGE", K18&gt;=4.5,"EXCELLENT")</f>
        <v>EXCELLENT</v>
      </c>
      <c r="M18">
        <f t="shared" si="4"/>
        <v>2.665</v>
      </c>
    </row>
    <row r="19" spans="1:13" x14ac:dyDescent="0.35">
      <c r="A19" t="s">
        <v>31</v>
      </c>
      <c r="B19" s="4">
        <v>2025</v>
      </c>
      <c r="C19" s="4">
        <v>3971</v>
      </c>
      <c r="D19" s="4">
        <f t="shared" si="0"/>
        <v>1946</v>
      </c>
      <c r="E19" s="6">
        <f t="shared" si="1"/>
        <v>0.49005288340468395</v>
      </c>
      <c r="F19" s="1">
        <v>0.49</v>
      </c>
      <c r="G19" s="1" t="str" cm="1">
        <f t="array" ref="G19">_xlfn.IFS(F19&lt;20%, "LOW_DISCOUNT", F19&lt;40%, "MEDIUM_DISCOUNT", F19&gt;=40%,"HIGH_DISCOUNT")</f>
        <v>HIGH_DISCOUNT</v>
      </c>
      <c r="H19">
        <v>-3</v>
      </c>
      <c r="I19">
        <f t="shared" si="2"/>
        <v>3</v>
      </c>
      <c r="J19" t="s">
        <v>29</v>
      </c>
      <c r="K19">
        <f t="shared" si="3"/>
        <v>5</v>
      </c>
      <c r="L19" t="str" cm="1">
        <f t="array" ref="L19">_xlfn.IFS(K19="","",K19&lt;3,"POOR", K19&lt;4.5,"AVERAGE", K19&gt;=4.5,"EXCELLENT")</f>
        <v>EXCELLENT</v>
      </c>
      <c r="M19">
        <f t="shared" si="4"/>
        <v>3.0725000000000002</v>
      </c>
    </row>
    <row r="20" spans="1:13" x14ac:dyDescent="0.35">
      <c r="A20" t="s">
        <v>32</v>
      </c>
      <c r="B20" s="4">
        <v>2999</v>
      </c>
      <c r="C20" s="4">
        <v>3699</v>
      </c>
      <c r="D20" s="4">
        <f t="shared" si="0"/>
        <v>700</v>
      </c>
      <c r="E20" s="6">
        <f t="shared" si="1"/>
        <v>0.18924033522573669</v>
      </c>
      <c r="F20" s="1">
        <v>0.19</v>
      </c>
      <c r="G20" s="1" t="str" cm="1">
        <f t="array" ref="G20">_xlfn.IFS(F20&lt;20%, "LOW_DISCOUNT", F20&lt;40%, "MEDIUM_DISCOUNT", F20&gt;=40%,"HIGH_DISCOUNT")</f>
        <v>LOW_DISCOUNT</v>
      </c>
      <c r="H20">
        <v>-5</v>
      </c>
      <c r="I20">
        <f t="shared" si="2"/>
        <v>5</v>
      </c>
      <c r="J20" t="s">
        <v>10</v>
      </c>
      <c r="K20">
        <f t="shared" si="3"/>
        <v>4.5999999999999996</v>
      </c>
      <c r="L20" t="str" cm="1">
        <f t="array" ref="L20">_xlfn.IFS(K20="","",K20&lt;3,"POOR", K20&lt;4.5,"AVERAGE", K20&gt;=4.5,"EXCELLENT")</f>
        <v>EXCELLENT</v>
      </c>
      <c r="M20">
        <f t="shared" si="4"/>
        <v>3.6574999999999998</v>
      </c>
    </row>
    <row r="21" spans="1:13" x14ac:dyDescent="0.35">
      <c r="A21" t="s">
        <v>33</v>
      </c>
      <c r="B21" s="4">
        <v>998</v>
      </c>
      <c r="C21" s="4">
        <v>1966</v>
      </c>
      <c r="D21" s="4">
        <f t="shared" si="0"/>
        <v>968</v>
      </c>
      <c r="E21" s="6">
        <f t="shared" si="1"/>
        <v>0.49237029501525942</v>
      </c>
      <c r="F21" s="1">
        <v>0.49</v>
      </c>
      <c r="G21" s="1" t="str" cm="1">
        <f t="array" ref="G21">_xlfn.IFS(F21&lt;20%, "LOW_DISCOUNT", F21&lt;40%, "MEDIUM_DISCOUNT", F21&gt;=40%,"HIGH_DISCOUNT")</f>
        <v>HIGH_DISCOUNT</v>
      </c>
      <c r="H21">
        <v>-44</v>
      </c>
      <c r="I21">
        <f t="shared" si="2"/>
        <v>44</v>
      </c>
      <c r="J21" t="s">
        <v>10</v>
      </c>
      <c r="K21">
        <f t="shared" si="3"/>
        <v>4.5999999999999996</v>
      </c>
      <c r="L21" t="str" cm="1">
        <f t="array" ref="L21">_xlfn.IFS(K21="","",K21&lt;3,"POOR", K21&lt;4.5,"AVERAGE", K21&gt;=4.5,"EXCELLENT")</f>
        <v>EXCELLENT</v>
      </c>
      <c r="M21">
        <f t="shared" si="4"/>
        <v>19.3325</v>
      </c>
    </row>
    <row r="22" spans="1:13" x14ac:dyDescent="0.35">
      <c r="A22" t="s">
        <v>34</v>
      </c>
      <c r="B22" s="4">
        <v>38</v>
      </c>
      <c r="C22" s="4">
        <v>80</v>
      </c>
      <c r="D22" s="4">
        <f t="shared" si="0"/>
        <v>42</v>
      </c>
      <c r="E22" s="6">
        <f t="shared" si="1"/>
        <v>0.52500000000000002</v>
      </c>
      <c r="F22" s="1">
        <v>0.53</v>
      </c>
      <c r="G22" s="1" t="str" cm="1">
        <f t="array" ref="G22">_xlfn.IFS(F22&lt;20%, "LOW_DISCOUNT", F22&lt;40%, "MEDIUM_DISCOUNT", F22&gt;=40%,"HIGH_DISCOUNT")</f>
        <v>HIGH_DISCOUNT</v>
      </c>
      <c r="H22">
        <v>-13</v>
      </c>
      <c r="I22">
        <f t="shared" si="2"/>
        <v>13</v>
      </c>
      <c r="J22" t="s">
        <v>35</v>
      </c>
      <c r="K22">
        <f t="shared" si="3"/>
        <v>3.3</v>
      </c>
      <c r="L22" t="str" cm="1">
        <f t="array" ref="L22">_xlfn.IFS(K22="","",K22&lt;3,"POOR", K22&lt;4.5,"AVERAGE", K22&gt;=4.5,"EXCELLENT")</f>
        <v>AVERAGE</v>
      </c>
      <c r="M22">
        <f t="shared" si="4"/>
        <v>6.4875000000000007</v>
      </c>
    </row>
    <row r="23" spans="1:13" x14ac:dyDescent="0.35">
      <c r="A23" t="s">
        <v>36</v>
      </c>
      <c r="B23" s="4">
        <v>1860</v>
      </c>
      <c r="C23" s="4">
        <v>3220</v>
      </c>
      <c r="D23" s="4">
        <f t="shared" si="0"/>
        <v>1360</v>
      </c>
      <c r="E23" s="6">
        <f t="shared" si="1"/>
        <v>0.42236024844720499</v>
      </c>
      <c r="F23" s="1">
        <v>0.42</v>
      </c>
      <c r="G23" s="1" t="str" cm="1">
        <f t="array" ref="G23">_xlfn.IFS(F23&lt;20%, "LOW_DISCOUNT", F23&lt;40%, "MEDIUM_DISCOUNT", F23&gt;=40%,"HIGH_DISCOUNT")</f>
        <v>HIGH_DISCOUNT</v>
      </c>
      <c r="I23" t="str">
        <f t="shared" si="2"/>
        <v/>
      </c>
      <c r="K23" t="str">
        <f t="shared" si="3"/>
        <v/>
      </c>
      <c r="L23" t="str" cm="1">
        <f t="array" ref="L23">_xlfn.IFS(K23="","",K23&lt;3,"POOR", K23&lt;4.5,"AVERAGE", K23&gt;=4.5,"EXCELLENT")</f>
        <v/>
      </c>
      <c r="M23" t="str">
        <f t="shared" si="4"/>
        <v/>
      </c>
    </row>
    <row r="24" spans="1:13" x14ac:dyDescent="0.35">
      <c r="A24" t="s">
        <v>37</v>
      </c>
      <c r="B24" s="4">
        <v>880</v>
      </c>
      <c r="C24" s="4">
        <v>1350</v>
      </c>
      <c r="D24" s="4">
        <f t="shared" si="0"/>
        <v>470</v>
      </c>
      <c r="E24" s="6">
        <f t="shared" si="1"/>
        <v>0.34814814814814815</v>
      </c>
      <c r="F24" s="1">
        <v>0.35</v>
      </c>
      <c r="G24" s="1" t="str" cm="1">
        <f t="array" ref="G24">_xlfn.IFS(F24&lt;20%, "LOW_DISCOUNT", F24&lt;40%, "MEDIUM_DISCOUNT", F24&gt;=40%,"HIGH_DISCOUNT")</f>
        <v>MEDIUM_DISCOUNT</v>
      </c>
      <c r="H24">
        <v>-6</v>
      </c>
      <c r="I24">
        <f t="shared" si="2"/>
        <v>6</v>
      </c>
      <c r="J24" t="s">
        <v>16</v>
      </c>
      <c r="K24">
        <f t="shared" si="3"/>
        <v>4</v>
      </c>
      <c r="L24" t="str" cm="1">
        <f t="array" ref="L24">_xlfn.IFS(K24="","",K24&lt;3,"POOR", K24&lt;4.5,"AVERAGE", K24&gt;=4.5,"EXCELLENT")</f>
        <v>AVERAGE</v>
      </c>
      <c r="M24">
        <f t="shared" si="4"/>
        <v>3.8875000000000002</v>
      </c>
    </row>
    <row r="25" spans="1:13" x14ac:dyDescent="0.35">
      <c r="A25" t="s">
        <v>38</v>
      </c>
      <c r="B25" s="4">
        <v>1650</v>
      </c>
      <c r="C25" s="4">
        <v>2150</v>
      </c>
      <c r="D25" s="4">
        <f t="shared" si="0"/>
        <v>500</v>
      </c>
      <c r="E25" s="6">
        <f t="shared" si="1"/>
        <v>0.23255813953488372</v>
      </c>
      <c r="F25" s="1">
        <v>0.23</v>
      </c>
      <c r="G25" s="1" t="str" cm="1">
        <f t="array" ref="G25">_xlfn.IFS(F25&lt;20%, "LOW_DISCOUNT", F25&lt;40%, "MEDIUM_DISCOUNT", F25&gt;=40%,"HIGH_DISCOUNT")</f>
        <v>MEDIUM_DISCOUNT</v>
      </c>
      <c r="H25">
        <v>-14</v>
      </c>
      <c r="I25">
        <f t="shared" si="2"/>
        <v>14</v>
      </c>
      <c r="J25" t="s">
        <v>39</v>
      </c>
      <c r="K25">
        <f t="shared" si="3"/>
        <v>4.4000000000000004</v>
      </c>
      <c r="L25" t="str" cm="1">
        <f t="array" ref="L25">_xlfn.IFS(K25="","",K25&lt;3,"POOR", K25&lt;4.5,"AVERAGE", K25&gt;=4.5,"EXCELLENT")</f>
        <v>AVERAGE</v>
      </c>
      <c r="M25">
        <f t="shared" si="4"/>
        <v>7.1975000000000007</v>
      </c>
    </row>
    <row r="26" spans="1:13" x14ac:dyDescent="0.35">
      <c r="A26" t="s">
        <v>40</v>
      </c>
      <c r="B26" s="4">
        <v>2048</v>
      </c>
      <c r="C26" s="4">
        <v>4500</v>
      </c>
      <c r="D26" s="4">
        <f t="shared" si="0"/>
        <v>2452</v>
      </c>
      <c r="E26" s="6">
        <f t="shared" si="1"/>
        <v>0.54488888888888887</v>
      </c>
      <c r="F26" s="1">
        <v>0.54</v>
      </c>
      <c r="G26" s="1" t="str" cm="1">
        <f t="array" ref="G26">_xlfn.IFS(F26&lt;20%, "LOW_DISCOUNT", F26&lt;40%, "MEDIUM_DISCOUNT", F26&gt;=40%,"HIGH_DISCOUNT")</f>
        <v>HIGH_DISCOUNT</v>
      </c>
      <c r="H26">
        <v>-7</v>
      </c>
      <c r="I26">
        <f t="shared" si="2"/>
        <v>7</v>
      </c>
      <c r="J26" t="s">
        <v>41</v>
      </c>
      <c r="K26">
        <f t="shared" si="3"/>
        <v>4.3</v>
      </c>
      <c r="L26" t="str" cm="1">
        <f t="array" ref="L26">_xlfn.IFS(K26="","",K26&lt;3,"POOR", K26&lt;4.5,"AVERAGE", K26&gt;=4.5,"EXCELLENT")</f>
        <v>AVERAGE</v>
      </c>
      <c r="M26">
        <f t="shared" si="4"/>
        <v>4.4399999999999995</v>
      </c>
    </row>
    <row r="27" spans="1:13" x14ac:dyDescent="0.35">
      <c r="A27" t="s">
        <v>42</v>
      </c>
      <c r="B27" s="4">
        <v>420</v>
      </c>
      <c r="C27" s="4">
        <v>647</v>
      </c>
      <c r="D27" s="4">
        <f t="shared" si="0"/>
        <v>227</v>
      </c>
      <c r="E27" s="6">
        <f t="shared" si="1"/>
        <v>0.3508500772797527</v>
      </c>
      <c r="F27" s="1">
        <v>0.35</v>
      </c>
      <c r="G27" s="1" t="str" cm="1">
        <f t="array" ref="G27">_xlfn.IFS(F27&lt;20%, "LOW_DISCOUNT", F27&lt;40%, "MEDIUM_DISCOUNT", F27&gt;=40%,"HIGH_DISCOUNT")</f>
        <v>MEDIUM_DISCOUNT</v>
      </c>
      <c r="H27">
        <v>-49</v>
      </c>
      <c r="I27">
        <f t="shared" si="2"/>
        <v>49</v>
      </c>
      <c r="J27" t="s">
        <v>10</v>
      </c>
      <c r="K27">
        <f t="shared" si="3"/>
        <v>4.5999999999999996</v>
      </c>
      <c r="L27" t="str" cm="1">
        <f t="array" ref="L27">_xlfn.IFS(K27="","",K27&lt;3,"POOR", K27&lt;4.5,"AVERAGE", K27&gt;=4.5,"EXCELLENT")</f>
        <v>EXCELLENT</v>
      </c>
      <c r="M27">
        <f t="shared" si="4"/>
        <v>21.297499999999999</v>
      </c>
    </row>
    <row r="28" spans="1:13" x14ac:dyDescent="0.35">
      <c r="A28" t="s">
        <v>43</v>
      </c>
      <c r="B28" s="4">
        <v>2880</v>
      </c>
      <c r="C28" s="4">
        <v>3520</v>
      </c>
      <c r="D28" s="4">
        <f t="shared" si="0"/>
        <v>640</v>
      </c>
      <c r="E28" s="6">
        <f t="shared" si="1"/>
        <v>0.18181818181818182</v>
      </c>
      <c r="F28" s="1">
        <v>0.18</v>
      </c>
      <c r="G28" s="1" t="str" cm="1">
        <f t="array" ref="G28">_xlfn.IFS(F28&lt;20%, "LOW_DISCOUNT", F28&lt;40%, "MEDIUM_DISCOUNT", F28&gt;=40%,"HIGH_DISCOUNT")</f>
        <v>LOW_DISCOUNT</v>
      </c>
      <c r="H28">
        <v>-12</v>
      </c>
      <c r="I28">
        <f t="shared" si="2"/>
        <v>12</v>
      </c>
      <c r="J28" t="s">
        <v>21</v>
      </c>
      <c r="K28">
        <f t="shared" si="3"/>
        <v>3.8</v>
      </c>
      <c r="L28" t="str" cm="1">
        <f t="array" ref="L28">_xlfn.IFS(K28="","",K28&lt;3,"POOR", K28&lt;4.5,"AVERAGE", K28&gt;=4.5,"EXCELLENT")</f>
        <v>AVERAGE</v>
      </c>
      <c r="M28">
        <f t="shared" si="4"/>
        <v>6.1750000000000007</v>
      </c>
    </row>
    <row r="29" spans="1:13" x14ac:dyDescent="0.35">
      <c r="A29" t="s">
        <v>44</v>
      </c>
      <c r="B29" s="4">
        <v>1350</v>
      </c>
      <c r="C29" s="4">
        <v>1990</v>
      </c>
      <c r="D29" s="4">
        <f t="shared" si="0"/>
        <v>640</v>
      </c>
      <c r="E29" s="6">
        <f t="shared" si="1"/>
        <v>0.32160804020100503</v>
      </c>
      <c r="F29" s="1">
        <v>0.32</v>
      </c>
      <c r="G29" s="1" t="str" cm="1">
        <f t="array" ref="G29">_xlfn.IFS(F29&lt;20%, "LOW_DISCOUNT", F29&lt;40%, "MEDIUM_DISCOUNT", F29&gt;=40%,"HIGH_DISCOUNT")</f>
        <v>MEDIUM_DISCOUNT</v>
      </c>
      <c r="H29">
        <v>-13</v>
      </c>
      <c r="I29">
        <f t="shared" si="2"/>
        <v>13</v>
      </c>
      <c r="J29" t="s">
        <v>21</v>
      </c>
      <c r="K29">
        <f t="shared" si="3"/>
        <v>3.8</v>
      </c>
      <c r="L29" t="str" cm="1">
        <f t="array" ref="L29">_xlfn.IFS(K29="","",K29&lt;3,"POOR", K29&lt;4.5,"AVERAGE", K29&gt;=4.5,"EXCELLENT")</f>
        <v>AVERAGE</v>
      </c>
      <c r="M29">
        <f t="shared" si="4"/>
        <v>6.61</v>
      </c>
    </row>
    <row r="30" spans="1:13" x14ac:dyDescent="0.35">
      <c r="A30" t="s">
        <v>45</v>
      </c>
      <c r="B30" s="4">
        <v>1758</v>
      </c>
      <c r="C30" s="4">
        <v>2499</v>
      </c>
      <c r="D30" s="4">
        <f t="shared" si="0"/>
        <v>741</v>
      </c>
      <c r="E30" s="6">
        <f t="shared" si="1"/>
        <v>0.2965186074429772</v>
      </c>
      <c r="F30" s="1">
        <v>0.3</v>
      </c>
      <c r="G30" s="1" t="str" cm="1">
        <f t="array" ref="G30">_xlfn.IFS(F30&lt;20%, "LOW_DISCOUNT", F30&lt;40%, "MEDIUM_DISCOUNT", F30&gt;=40%,"HIGH_DISCOUNT")</f>
        <v>MEDIUM_DISCOUNT</v>
      </c>
      <c r="H30">
        <v>-20</v>
      </c>
      <c r="I30">
        <f t="shared" si="2"/>
        <v>20</v>
      </c>
      <c r="J30" t="s">
        <v>8</v>
      </c>
      <c r="K30">
        <f t="shared" si="3"/>
        <v>4.0999999999999996</v>
      </c>
      <c r="L30" t="str" cm="1">
        <f t="array" ref="L30">_xlfn.IFS(K30="","",K30&lt;3,"POOR", K30&lt;4.5,"AVERAGE", K30&gt;=4.5,"EXCELLENT")</f>
        <v>AVERAGE</v>
      </c>
      <c r="M30">
        <f t="shared" si="4"/>
        <v>9.51</v>
      </c>
    </row>
    <row r="31" spans="1:13" x14ac:dyDescent="0.35">
      <c r="A31" t="s">
        <v>46</v>
      </c>
      <c r="B31" s="4">
        <v>2200</v>
      </c>
      <c r="C31" s="4">
        <v>4080</v>
      </c>
      <c r="D31" s="4">
        <f t="shared" si="0"/>
        <v>1880</v>
      </c>
      <c r="E31" s="6">
        <f t="shared" si="1"/>
        <v>0.46078431372549017</v>
      </c>
      <c r="F31" s="1">
        <v>0.46</v>
      </c>
      <c r="G31" s="1" t="str" cm="1">
        <f t="array" ref="G31">_xlfn.IFS(F31&lt;20%, "LOW_DISCOUNT", F31&lt;40%, "MEDIUM_DISCOUNT", F31&gt;=40%,"HIGH_DISCOUNT")</f>
        <v>HIGH_DISCOUNT</v>
      </c>
      <c r="I31" t="str">
        <f t="shared" si="2"/>
        <v/>
      </c>
      <c r="K31" t="str">
        <f t="shared" si="3"/>
        <v/>
      </c>
      <c r="L31" t="str" cm="1">
        <f t="array" ref="L31">_xlfn.IFS(K31="","",K31&lt;3,"POOR", K31&lt;4.5,"AVERAGE", K31&gt;=4.5,"EXCELLENT")</f>
        <v/>
      </c>
      <c r="M31" t="str">
        <f t="shared" si="4"/>
        <v/>
      </c>
    </row>
    <row r="32" spans="1:13" x14ac:dyDescent="0.35">
      <c r="A32" t="s">
        <v>47</v>
      </c>
      <c r="B32" s="4">
        <v>185</v>
      </c>
      <c r="C32" s="4">
        <v>382</v>
      </c>
      <c r="D32" s="4">
        <f t="shared" si="0"/>
        <v>197</v>
      </c>
      <c r="E32" s="6">
        <f t="shared" si="1"/>
        <v>0.51570680628272247</v>
      </c>
      <c r="F32" s="1">
        <v>0.52</v>
      </c>
      <c r="G32" s="1" t="str" cm="1">
        <f t="array" ref="G32">_xlfn.IFS(F32&lt;20%, "LOW_DISCOUNT", F32&lt;40%, "MEDIUM_DISCOUNT", F32&gt;=40%,"HIGH_DISCOUNT")</f>
        <v>HIGH_DISCOUNT</v>
      </c>
      <c r="H32">
        <v>-9</v>
      </c>
      <c r="I32">
        <f t="shared" si="2"/>
        <v>9</v>
      </c>
      <c r="J32" t="s">
        <v>41</v>
      </c>
      <c r="K32">
        <f t="shared" si="3"/>
        <v>4.3</v>
      </c>
      <c r="L32" t="str" cm="1">
        <f t="array" ref="L32">_xlfn.IFS(K32="","",K32&lt;3,"POOR", K32&lt;4.5,"AVERAGE", K32&gt;=4.5,"EXCELLENT")</f>
        <v>AVERAGE</v>
      </c>
      <c r="M32">
        <f t="shared" si="4"/>
        <v>5.2350000000000003</v>
      </c>
    </row>
    <row r="33" spans="1:16" x14ac:dyDescent="0.35">
      <c r="A33" t="s">
        <v>48</v>
      </c>
      <c r="B33" s="4">
        <v>980</v>
      </c>
      <c r="C33" s="4">
        <v>1490</v>
      </c>
      <c r="D33" s="4">
        <f t="shared" si="0"/>
        <v>510</v>
      </c>
      <c r="E33" s="6">
        <f t="shared" si="1"/>
        <v>0.34228187919463088</v>
      </c>
      <c r="F33" s="1">
        <v>0.34</v>
      </c>
      <c r="G33" s="1" t="str" cm="1">
        <f t="array" ref="G33">_xlfn.IFS(F33&lt;20%, "LOW_DISCOUNT", F33&lt;40%, "MEDIUM_DISCOUNT", F33&gt;=40%,"HIGH_DISCOUNT")</f>
        <v>MEDIUM_DISCOUNT</v>
      </c>
      <c r="H33">
        <v>-12</v>
      </c>
      <c r="I33">
        <f t="shared" si="2"/>
        <v>12</v>
      </c>
      <c r="J33" t="s">
        <v>12</v>
      </c>
      <c r="K33">
        <f t="shared" si="3"/>
        <v>4.7</v>
      </c>
      <c r="L33" t="str" cm="1">
        <f t="array" ref="L33">_xlfn.IFS(K33="","",K33&lt;3,"POOR", K33&lt;4.5,"AVERAGE", K33&gt;=4.5,"EXCELLENT")</f>
        <v>EXCELLENT</v>
      </c>
      <c r="M33">
        <f t="shared" si="4"/>
        <v>6.53</v>
      </c>
    </row>
    <row r="34" spans="1:16" x14ac:dyDescent="0.35">
      <c r="A34" t="s">
        <v>49</v>
      </c>
      <c r="B34" s="4">
        <v>1820</v>
      </c>
      <c r="C34" s="4">
        <v>3490</v>
      </c>
      <c r="D34" s="4">
        <f t="shared" si="0"/>
        <v>1670</v>
      </c>
      <c r="E34" s="6">
        <f t="shared" si="1"/>
        <v>0.47851002865329512</v>
      </c>
      <c r="F34" s="1">
        <v>0.48</v>
      </c>
      <c r="G34" s="1" t="str" cm="1">
        <f t="array" ref="G34">_xlfn.IFS(F34&lt;20%, "LOW_DISCOUNT", F34&lt;40%, "MEDIUM_DISCOUNT", F34&gt;=40%,"HIGH_DISCOUNT")</f>
        <v>HIGH_DISCOUNT</v>
      </c>
      <c r="H34">
        <v>-9</v>
      </c>
      <c r="I34">
        <f t="shared" si="2"/>
        <v>9</v>
      </c>
      <c r="J34" t="s">
        <v>41</v>
      </c>
      <c r="K34">
        <f t="shared" si="3"/>
        <v>4.3</v>
      </c>
      <c r="L34" t="str" cm="1">
        <f t="array" ref="L34">_xlfn.IFS(K34="","",K34&lt;3,"POOR", K34&lt;4.5,"AVERAGE", K34&gt;=4.5,"EXCELLENT")</f>
        <v>AVERAGE</v>
      </c>
      <c r="M34">
        <f t="shared" si="4"/>
        <v>5.2250000000000005</v>
      </c>
    </row>
    <row r="35" spans="1:16" x14ac:dyDescent="0.35">
      <c r="A35" t="s">
        <v>50</v>
      </c>
      <c r="B35" s="4">
        <v>1940</v>
      </c>
      <c r="C35" s="4">
        <v>2650</v>
      </c>
      <c r="D35" s="4">
        <f t="shared" si="0"/>
        <v>710</v>
      </c>
      <c r="E35" s="6">
        <f t="shared" si="1"/>
        <v>0.26792452830188679</v>
      </c>
      <c r="F35" s="1">
        <v>0.27</v>
      </c>
      <c r="G35" s="1" t="str" cm="1">
        <f t="array" ref="G35">_xlfn.IFS(F35&lt;20%, "LOW_DISCOUNT", F35&lt;40%, "MEDIUM_DISCOUNT", F35&gt;=40%,"HIGH_DISCOUNT")</f>
        <v>MEDIUM_DISCOUNT</v>
      </c>
      <c r="H35">
        <v>-20</v>
      </c>
      <c r="I35">
        <f t="shared" si="2"/>
        <v>20</v>
      </c>
      <c r="J35" t="s">
        <v>12</v>
      </c>
      <c r="K35">
        <f t="shared" si="3"/>
        <v>4.7</v>
      </c>
      <c r="L35" t="str" cm="1">
        <f t="array" ref="L35">_xlfn.IFS(K35="","",K35&lt;3,"POOR", K35&lt;4.5,"AVERAGE", K35&gt;=4.5,"EXCELLENT")</f>
        <v>EXCELLENT</v>
      </c>
      <c r="M35">
        <f t="shared" si="4"/>
        <v>9.7125000000000004</v>
      </c>
    </row>
    <row r="36" spans="1:16" x14ac:dyDescent="0.35">
      <c r="A36" t="s">
        <v>51</v>
      </c>
      <c r="B36" s="4">
        <v>1980</v>
      </c>
      <c r="C36" s="4">
        <v>2699</v>
      </c>
      <c r="D36" s="4">
        <f t="shared" si="0"/>
        <v>719</v>
      </c>
      <c r="E36" s="6">
        <f t="shared" si="1"/>
        <v>0.26639496109670247</v>
      </c>
      <c r="F36" s="1">
        <v>0.27</v>
      </c>
      <c r="G36" s="1" t="str" cm="1">
        <f t="array" ref="G36">_xlfn.IFS(F36&lt;20%, "LOW_DISCOUNT", F36&lt;40%, "MEDIUM_DISCOUNT", F36&gt;=40%,"HIGH_DISCOUNT")</f>
        <v>MEDIUM_DISCOUNT</v>
      </c>
      <c r="H36">
        <v>-32</v>
      </c>
      <c r="I36">
        <f t="shared" si="2"/>
        <v>32</v>
      </c>
      <c r="J36" t="s">
        <v>6</v>
      </c>
      <c r="K36">
        <f t="shared" si="3"/>
        <v>4.5</v>
      </c>
      <c r="L36" t="str" cm="1">
        <f t="array" ref="L36">_xlfn.IFS(K36="","",K36&lt;3,"POOR", K36&lt;4.5,"AVERAGE", K36&gt;=4.5,"EXCELLENT")</f>
        <v>EXCELLENT</v>
      </c>
      <c r="M36">
        <f t="shared" si="4"/>
        <v>14.442500000000001</v>
      </c>
    </row>
    <row r="37" spans="1:16" x14ac:dyDescent="0.35">
      <c r="A37" t="s">
        <v>52</v>
      </c>
      <c r="B37" s="4">
        <v>1620</v>
      </c>
      <c r="C37" s="4">
        <v>2690</v>
      </c>
      <c r="D37" s="4">
        <f t="shared" si="0"/>
        <v>1070</v>
      </c>
      <c r="E37" s="6">
        <f t="shared" si="1"/>
        <v>0.39776951672862454</v>
      </c>
      <c r="F37" s="1">
        <v>0.4</v>
      </c>
      <c r="G37" s="1" t="str" cm="1">
        <f t="array" ref="G37">_xlfn.IFS(F37&lt;20%, "LOW_DISCOUNT", F37&lt;40%, "MEDIUM_DISCOUNT", F37&gt;=40%,"HIGH_DISCOUNT")</f>
        <v>HIGH_DISCOUNT</v>
      </c>
      <c r="H37">
        <v>-1</v>
      </c>
      <c r="I37">
        <f t="shared" si="2"/>
        <v>1</v>
      </c>
      <c r="J37" t="s">
        <v>29</v>
      </c>
      <c r="K37">
        <f t="shared" si="3"/>
        <v>5</v>
      </c>
      <c r="L37" t="str" cm="1">
        <f t="array" ref="L37">_xlfn.IFS(K37="","",K37&lt;3,"POOR", K37&lt;4.5,"AVERAGE", K37&gt;=4.5,"EXCELLENT")</f>
        <v>EXCELLENT</v>
      </c>
      <c r="M37">
        <f t="shared" si="4"/>
        <v>2.25</v>
      </c>
    </row>
    <row r="38" spans="1:16" x14ac:dyDescent="0.35">
      <c r="A38" t="s">
        <v>53</v>
      </c>
      <c r="B38" s="4">
        <v>171</v>
      </c>
      <c r="C38" s="4">
        <v>360</v>
      </c>
      <c r="D38" s="4">
        <f t="shared" si="0"/>
        <v>189</v>
      </c>
      <c r="E38" s="6">
        <f t="shared" si="1"/>
        <v>0.52500000000000002</v>
      </c>
      <c r="F38" s="1">
        <v>0.53</v>
      </c>
      <c r="G38" s="1" t="str" cm="1">
        <f t="array" ref="G38">_xlfn.IFS(F38&lt;20%, "LOW_DISCOUNT", F38&lt;40%, "MEDIUM_DISCOUNT", F38&gt;=40%,"HIGH_DISCOUNT")</f>
        <v>HIGH_DISCOUNT</v>
      </c>
      <c r="H38">
        <v>-2</v>
      </c>
      <c r="I38">
        <f t="shared" si="2"/>
        <v>2</v>
      </c>
      <c r="J38" t="s">
        <v>29</v>
      </c>
      <c r="K38">
        <f t="shared" si="3"/>
        <v>5</v>
      </c>
      <c r="L38" t="str" cm="1">
        <f t="array" ref="L38">_xlfn.IFS(K38="","",K38&lt;3,"POOR", K38&lt;4.5,"AVERAGE", K38&gt;=4.5,"EXCELLENT")</f>
        <v>EXCELLENT</v>
      </c>
      <c r="M38">
        <f t="shared" si="4"/>
        <v>2.6824999999999997</v>
      </c>
    </row>
    <row r="39" spans="1:16" x14ac:dyDescent="0.35">
      <c r="A39" t="s">
        <v>54</v>
      </c>
      <c r="B39" s="4">
        <v>389</v>
      </c>
      <c r="C39" s="4">
        <v>656</v>
      </c>
      <c r="D39" s="4">
        <f t="shared" si="0"/>
        <v>267</v>
      </c>
      <c r="E39" s="6">
        <f t="shared" si="1"/>
        <v>0.40701219512195119</v>
      </c>
      <c r="F39" s="1">
        <v>0.41</v>
      </c>
      <c r="G39" s="1" t="str" cm="1">
        <f t="array" ref="G39">_xlfn.IFS(F39&lt;20%, "LOW_DISCOUNT", F39&lt;40%, "MEDIUM_DISCOUNT", F39&gt;=40%,"HIGH_DISCOUNT")</f>
        <v>HIGH_DISCOUNT</v>
      </c>
      <c r="H39">
        <v>-36</v>
      </c>
      <c r="I39">
        <f t="shared" si="2"/>
        <v>36</v>
      </c>
      <c r="J39" t="s">
        <v>41</v>
      </c>
      <c r="K39">
        <f t="shared" si="3"/>
        <v>4.3</v>
      </c>
      <c r="L39" t="str" cm="1">
        <f t="array" ref="L39">_xlfn.IFS(K39="","",K39&lt;3,"POOR", K39&lt;4.5,"AVERAGE", K39&gt;=4.5,"EXCELLENT")</f>
        <v>AVERAGE</v>
      </c>
      <c r="M39">
        <f t="shared" si="4"/>
        <v>16.0075</v>
      </c>
    </row>
    <row r="40" spans="1:16" x14ac:dyDescent="0.35">
      <c r="A40" t="s">
        <v>55</v>
      </c>
      <c r="B40" s="4">
        <v>1800</v>
      </c>
      <c r="C40" s="4">
        <v>2700</v>
      </c>
      <c r="D40" s="4">
        <f t="shared" si="0"/>
        <v>900</v>
      </c>
      <c r="E40" s="6">
        <f t="shared" si="1"/>
        <v>0.33333333333333331</v>
      </c>
      <c r="F40" s="1">
        <v>0.38</v>
      </c>
      <c r="G40" s="1" t="str" cm="1">
        <f t="array" ref="G40">_xlfn.IFS(F40&lt;20%, "LOW_DISCOUNT", F40&lt;40%, "MEDIUM_DISCOUNT", F40&gt;=40%,"HIGH_DISCOUNT")</f>
        <v>MEDIUM_DISCOUNT</v>
      </c>
      <c r="H40">
        <v>-2</v>
      </c>
      <c r="I40">
        <f t="shared" si="2"/>
        <v>2</v>
      </c>
      <c r="J40" t="s">
        <v>6</v>
      </c>
      <c r="K40">
        <f t="shared" si="3"/>
        <v>4.5</v>
      </c>
      <c r="L40" t="str" cm="1">
        <f t="array" ref="L40">_xlfn.IFS(K40="","",K40&lt;3,"POOR", K40&lt;4.5,"AVERAGE", K40&gt;=4.5,"EXCELLENT")</f>
        <v>EXCELLENT</v>
      </c>
      <c r="M40">
        <f t="shared" si="4"/>
        <v>2.4700000000000002</v>
      </c>
    </row>
    <row r="41" spans="1:16" x14ac:dyDescent="0.35">
      <c r="A41" t="s">
        <v>56</v>
      </c>
      <c r="B41" s="4">
        <v>2750</v>
      </c>
      <c r="C41" s="4">
        <v>4471</v>
      </c>
      <c r="D41" s="4">
        <f t="shared" si="0"/>
        <v>1721</v>
      </c>
      <c r="E41" s="6">
        <f t="shared" si="1"/>
        <v>0.38492507269067322</v>
      </c>
      <c r="F41" s="1">
        <v>0.38</v>
      </c>
      <c r="G41" s="1" t="str" cm="1">
        <f t="array" ref="G41">_xlfn.IFS(F41&lt;20%, "LOW_DISCOUNT", F41&lt;40%, "MEDIUM_DISCOUNT", F41&gt;=40%,"HIGH_DISCOUNT")</f>
        <v>MEDIUM_DISCOUNT</v>
      </c>
      <c r="I41" t="str">
        <f t="shared" si="2"/>
        <v/>
      </c>
      <c r="K41" t="str">
        <f t="shared" si="3"/>
        <v/>
      </c>
      <c r="L41" t="str" cm="1">
        <f t="array" ref="L41">_xlfn.IFS(K41="","",K41&lt;3,"POOR", K41&lt;4.5,"AVERAGE", K41&gt;=4.5,"EXCELLENT")</f>
        <v/>
      </c>
      <c r="M41" t="str">
        <f t="shared" si="4"/>
        <v/>
      </c>
      <c r="O41" s="7" t="s">
        <v>176</v>
      </c>
    </row>
    <row r="42" spans="1:16" x14ac:dyDescent="0.35">
      <c r="A42" t="s">
        <v>57</v>
      </c>
      <c r="B42" s="4">
        <v>475</v>
      </c>
      <c r="C42" s="4">
        <v>931</v>
      </c>
      <c r="D42" s="4">
        <f t="shared" si="0"/>
        <v>456</v>
      </c>
      <c r="E42" s="6">
        <f t="shared" si="1"/>
        <v>0.48979591836734693</v>
      </c>
      <c r="F42" s="1">
        <v>0.49</v>
      </c>
      <c r="G42" s="1" t="str" cm="1">
        <f t="array" ref="G42">_xlfn.IFS(F42&lt;20%, "LOW_DISCOUNT", F42&lt;40%, "MEDIUM_DISCOUNT", F42&gt;=40%,"HIGH_DISCOUNT")</f>
        <v>HIGH_DISCOUNT</v>
      </c>
      <c r="I42" t="str">
        <f t="shared" si="2"/>
        <v/>
      </c>
      <c r="K42" t="str">
        <f t="shared" si="3"/>
        <v/>
      </c>
      <c r="L42" t="str" cm="1">
        <f t="array" ref="L42">_xlfn.IFS(K42="","",K42&lt;3,"POOR", K42&lt;4.5,"AVERAGE", K42&gt;=4.5,"EXCELLENT")</f>
        <v/>
      </c>
      <c r="M42" t="str">
        <f t="shared" si="4"/>
        <v/>
      </c>
      <c r="O42" t="s">
        <v>177</v>
      </c>
      <c r="P42">
        <f xml:space="preserve"> 0.35</f>
        <v>0.35</v>
      </c>
    </row>
    <row r="43" spans="1:16" x14ac:dyDescent="0.35">
      <c r="A43" t="s">
        <v>58</v>
      </c>
      <c r="B43" s="4">
        <v>238</v>
      </c>
      <c r="C43" s="4">
        <v>476</v>
      </c>
      <c r="D43" s="4">
        <f t="shared" si="0"/>
        <v>238</v>
      </c>
      <c r="E43" s="6">
        <f t="shared" si="1"/>
        <v>0.5</v>
      </c>
      <c r="F43" s="1">
        <v>0.5</v>
      </c>
      <c r="G43" s="1" t="str" cm="1">
        <f t="array" ref="G43">_xlfn.IFS(F43&lt;20%, "LOW_DISCOUNT", F43&lt;40%, "MEDIUM_DISCOUNT", F43&gt;=40%,"HIGH_DISCOUNT")</f>
        <v>HIGH_DISCOUNT</v>
      </c>
      <c r="I43" t="str">
        <f t="shared" si="2"/>
        <v/>
      </c>
      <c r="K43" t="str">
        <f t="shared" si="3"/>
        <v/>
      </c>
      <c r="L43" t="str" cm="1">
        <f t="array" ref="L43">_xlfn.IFS(K43="","",K43&lt;3,"POOR", K43&lt;4.5,"AVERAGE", K43&gt;=4.5,"EXCELLENT")</f>
        <v/>
      </c>
      <c r="M43" t="str">
        <f t="shared" si="4"/>
        <v/>
      </c>
      <c r="O43" t="s">
        <v>178</v>
      </c>
      <c r="P43">
        <v>0.4</v>
      </c>
    </row>
    <row r="44" spans="1:16" x14ac:dyDescent="0.35">
      <c r="A44" t="s">
        <v>59</v>
      </c>
      <c r="B44" s="4">
        <v>610</v>
      </c>
      <c r="C44" s="4">
        <v>1060</v>
      </c>
      <c r="D44" s="4">
        <f t="shared" si="0"/>
        <v>450</v>
      </c>
      <c r="E44" s="6">
        <f t="shared" si="1"/>
        <v>0.42452830188679247</v>
      </c>
      <c r="F44" s="1">
        <v>0.42</v>
      </c>
      <c r="G44" s="1" t="str" cm="1">
        <f t="array" ref="G44">_xlfn.IFS(F44&lt;20%, "LOW_DISCOUNT", F44&lt;40%, "MEDIUM_DISCOUNT", F44&gt;=40%,"HIGH_DISCOUNT")</f>
        <v>HIGH_DISCOUNT</v>
      </c>
      <c r="I44" t="str">
        <f t="shared" si="2"/>
        <v/>
      </c>
      <c r="K44" t="str">
        <f t="shared" si="3"/>
        <v/>
      </c>
      <c r="L44" t="str" cm="1">
        <f t="array" ref="L44">_xlfn.IFS(K44="","",K44&lt;3,"POOR", K44&lt;4.5,"AVERAGE", K44&gt;=4.5,"EXCELLENT")</f>
        <v/>
      </c>
      <c r="M44" t="str">
        <f t="shared" si="4"/>
        <v/>
      </c>
      <c r="O44" t="s">
        <v>3</v>
      </c>
      <c r="P44">
        <v>0.25</v>
      </c>
    </row>
    <row r="45" spans="1:16" x14ac:dyDescent="0.35">
      <c r="A45" t="s">
        <v>60</v>
      </c>
      <c r="B45" s="4">
        <v>2132</v>
      </c>
      <c r="C45" s="4">
        <v>2169</v>
      </c>
      <c r="D45" s="4">
        <f t="shared" si="0"/>
        <v>37</v>
      </c>
      <c r="E45" s="6">
        <f t="shared" si="1"/>
        <v>1.705855232826187E-2</v>
      </c>
      <c r="F45" s="1">
        <v>0.02</v>
      </c>
      <c r="G45" s="1" t="str" cm="1">
        <f t="array" ref="G45">_xlfn.IFS(F45&lt;20%, "LOW_DISCOUNT", F45&lt;40%, "MEDIUM_DISCOUNT", F45&gt;=40%,"HIGH_DISCOUNT")</f>
        <v>LOW_DISCOUNT</v>
      </c>
      <c r="I45" t="str">
        <f t="shared" si="2"/>
        <v/>
      </c>
      <c r="K45" t="str">
        <f t="shared" si="3"/>
        <v/>
      </c>
      <c r="L45" t="str" cm="1">
        <f t="array" ref="L45">_xlfn.IFS(K45="","",K45&lt;3,"POOR", K45&lt;4.5,"AVERAGE", K45&gt;=4.5,"EXCELLENT")</f>
        <v/>
      </c>
      <c r="M45" t="str">
        <f t="shared" si="4"/>
        <v/>
      </c>
    </row>
    <row r="46" spans="1:16" x14ac:dyDescent="0.35">
      <c r="A46" t="s">
        <v>61</v>
      </c>
      <c r="B46" s="4">
        <v>999</v>
      </c>
      <c r="C46" s="4">
        <v>2000</v>
      </c>
      <c r="D46" s="4">
        <f t="shared" si="0"/>
        <v>1001</v>
      </c>
      <c r="E46" s="6">
        <f t="shared" si="1"/>
        <v>0.50049999999999994</v>
      </c>
      <c r="F46" s="1">
        <v>0.5</v>
      </c>
      <c r="G46" s="1" t="str" cm="1">
        <f t="array" ref="G46">_xlfn.IFS(F46&lt;20%, "LOW_DISCOUNT", F46&lt;40%, "MEDIUM_DISCOUNT", F46&gt;=40%,"HIGH_DISCOUNT")</f>
        <v>HIGH_DISCOUNT</v>
      </c>
      <c r="I46" t="str">
        <f t="shared" si="2"/>
        <v/>
      </c>
      <c r="K46" t="str">
        <f t="shared" si="3"/>
        <v/>
      </c>
      <c r="L46" t="str" cm="1">
        <f t="array" ref="L46">_xlfn.IFS(K46="","",K46&lt;3,"POOR", K46&lt;4.5,"AVERAGE", K46&gt;=4.5,"EXCELLENT")</f>
        <v/>
      </c>
      <c r="M46" t="str">
        <f t="shared" si="4"/>
        <v/>
      </c>
    </row>
    <row r="47" spans="1:16" x14ac:dyDescent="0.35">
      <c r="A47" t="s">
        <v>62</v>
      </c>
      <c r="B47" s="4">
        <v>1190</v>
      </c>
      <c r="C47" s="4">
        <v>1785</v>
      </c>
      <c r="D47" s="4">
        <f t="shared" si="0"/>
        <v>595</v>
      </c>
      <c r="E47" s="6">
        <f t="shared" si="1"/>
        <v>0.33333333333333331</v>
      </c>
      <c r="F47" s="1">
        <v>0.33</v>
      </c>
      <c r="G47" s="1" t="str" cm="1">
        <f t="array" ref="G47">_xlfn.IFS(F47&lt;20%, "LOW_DISCOUNT", F47&lt;40%, "MEDIUM_DISCOUNT", F47&gt;=40%,"HIGH_DISCOUNT")</f>
        <v>MEDIUM_DISCOUNT</v>
      </c>
      <c r="I47" t="str">
        <f t="shared" si="2"/>
        <v/>
      </c>
      <c r="K47" t="str">
        <f t="shared" si="3"/>
        <v/>
      </c>
      <c r="L47" t="str" cm="1">
        <f t="array" ref="L47">_xlfn.IFS(K47="","",K47&lt;3,"POOR", K47&lt;4.5,"AVERAGE", K47&gt;=4.5,"EXCELLENT")</f>
        <v/>
      </c>
      <c r="M47" t="str">
        <f t="shared" si="4"/>
        <v/>
      </c>
    </row>
    <row r="48" spans="1:16" x14ac:dyDescent="0.35">
      <c r="A48" t="s">
        <v>63</v>
      </c>
      <c r="B48" s="4">
        <v>671</v>
      </c>
      <c r="C48" s="4">
        <v>1316</v>
      </c>
      <c r="D48" s="4">
        <f t="shared" si="0"/>
        <v>645</v>
      </c>
      <c r="E48" s="6">
        <f t="shared" si="1"/>
        <v>0.49012158054711247</v>
      </c>
      <c r="F48" s="1">
        <v>0.49</v>
      </c>
      <c r="G48" s="1" t="str" cm="1">
        <f t="array" ref="G48">_xlfn.IFS(F48&lt;20%, "LOW_DISCOUNT", F48&lt;40%, "MEDIUM_DISCOUNT", F48&gt;=40%,"HIGH_DISCOUNT")</f>
        <v>HIGH_DISCOUNT</v>
      </c>
      <c r="I48" t="str">
        <f t="shared" si="2"/>
        <v/>
      </c>
      <c r="K48" t="str">
        <f t="shared" si="3"/>
        <v/>
      </c>
      <c r="L48" t="str" cm="1">
        <f t="array" ref="L48">_xlfn.IFS(K48="","",K48&lt;3,"POOR", K48&lt;4.5,"AVERAGE", K48&gt;=4.5,"EXCELLENT")</f>
        <v/>
      </c>
      <c r="M48" t="str">
        <f t="shared" si="4"/>
        <v/>
      </c>
    </row>
    <row r="49" spans="1:13" x14ac:dyDescent="0.35">
      <c r="A49" t="s">
        <v>64</v>
      </c>
      <c r="B49" s="4">
        <v>1200</v>
      </c>
      <c r="C49" s="4">
        <v>1950</v>
      </c>
      <c r="D49" s="4">
        <f t="shared" si="0"/>
        <v>750</v>
      </c>
      <c r="E49" s="6">
        <f t="shared" si="1"/>
        <v>0.38461538461538464</v>
      </c>
      <c r="F49" s="1">
        <v>0.38</v>
      </c>
      <c r="G49" s="1" t="str" cm="1">
        <f t="array" ref="G49">_xlfn.IFS(F49&lt;20%, "LOW_DISCOUNT", F49&lt;40%, "MEDIUM_DISCOUNT", F49&gt;=40%,"HIGH_DISCOUNT")</f>
        <v>MEDIUM_DISCOUNT</v>
      </c>
      <c r="I49" t="str">
        <f t="shared" si="2"/>
        <v/>
      </c>
      <c r="K49" t="str">
        <f t="shared" si="3"/>
        <v/>
      </c>
      <c r="L49" t="str" cm="1">
        <f t="array" ref="L49">_xlfn.IFS(K49="","",K49&lt;3,"POOR", K49&lt;4.5,"AVERAGE", K49&gt;=4.5,"EXCELLENT")</f>
        <v/>
      </c>
      <c r="M49" t="str">
        <f t="shared" si="4"/>
        <v/>
      </c>
    </row>
    <row r="50" spans="1:13" x14ac:dyDescent="0.35">
      <c r="B50" s="4">
        <v>199</v>
      </c>
      <c r="C50" s="4">
        <v>504</v>
      </c>
      <c r="D50" s="4">
        <f t="shared" si="0"/>
        <v>305</v>
      </c>
      <c r="E50" s="6">
        <f t="shared" si="1"/>
        <v>0.60515873015873012</v>
      </c>
      <c r="F50" s="1">
        <v>0.61</v>
      </c>
      <c r="G50" s="1" t="str" cm="1">
        <f t="array" ref="G50">_xlfn.IFS(F50&lt;20%, "LOW_DISCOUNT", F50&lt;40%, "MEDIUM_DISCOUNT", F50&gt;=40%,"HIGH_DISCOUNT")</f>
        <v>HIGH_DISCOUNT</v>
      </c>
      <c r="I50" t="str">
        <f t="shared" si="2"/>
        <v/>
      </c>
      <c r="K50" t="str">
        <f t="shared" si="3"/>
        <v/>
      </c>
      <c r="L50" t="str" cm="1">
        <f t="array" ref="L50">_xlfn.IFS(K50="","",K50&lt;3,"POOR", K50&lt;4.5,"AVERAGE", K50&gt;=4.5,"EXCELLENT")</f>
        <v/>
      </c>
      <c r="M50" t="str">
        <f t="shared" si="4"/>
        <v/>
      </c>
    </row>
    <row r="51" spans="1:13" x14ac:dyDescent="0.35">
      <c r="A51" t="s">
        <v>66</v>
      </c>
      <c r="B51" s="4">
        <v>299</v>
      </c>
      <c r="C51" s="4">
        <v>600</v>
      </c>
      <c r="D51" s="4">
        <f t="shared" si="0"/>
        <v>301</v>
      </c>
      <c r="E51" s="6">
        <f t="shared" si="1"/>
        <v>0.50166666666666671</v>
      </c>
      <c r="F51" s="1">
        <v>0.5</v>
      </c>
      <c r="G51" s="1" t="str" cm="1">
        <f t="array" ref="G51">_xlfn.IFS(F51&lt;20%, "LOW_DISCOUNT", F51&lt;40%, "MEDIUM_DISCOUNT", F51&gt;=40%,"HIGH_DISCOUNT")</f>
        <v>HIGH_DISCOUNT</v>
      </c>
      <c r="I51" t="str">
        <f t="shared" si="2"/>
        <v/>
      </c>
      <c r="K51" t="str">
        <f t="shared" si="3"/>
        <v/>
      </c>
      <c r="L51" t="str" cm="1">
        <f t="array" ref="L51">_xlfn.IFS(K51="","",K51&lt;3,"POOR", K51&lt;4.5,"AVERAGE", K51&gt;=4.5,"EXCELLENT")</f>
        <v/>
      </c>
      <c r="M51" t="str">
        <f t="shared" si="4"/>
        <v/>
      </c>
    </row>
    <row r="52" spans="1:13" x14ac:dyDescent="0.35">
      <c r="A52" t="s">
        <v>67</v>
      </c>
      <c r="B52" s="4">
        <v>1660</v>
      </c>
      <c r="C52" s="4">
        <v>1699</v>
      </c>
      <c r="D52" s="4">
        <f t="shared" si="0"/>
        <v>39</v>
      </c>
      <c r="E52" s="6">
        <f t="shared" si="1"/>
        <v>2.2954679223072396E-2</v>
      </c>
      <c r="F52" s="1">
        <v>0.02</v>
      </c>
      <c r="G52" s="1" t="str" cm="1">
        <f t="array" ref="G52">_xlfn.IFS(F52&lt;20%, "LOW_DISCOUNT", F52&lt;40%, "MEDIUM_DISCOUNT", F52&gt;=40%,"HIGH_DISCOUNT")</f>
        <v>LOW_DISCOUNT</v>
      </c>
      <c r="I52" t="str">
        <f t="shared" si="2"/>
        <v/>
      </c>
      <c r="K52" t="str">
        <f t="shared" si="3"/>
        <v/>
      </c>
      <c r="L52" t="str" cm="1">
        <f t="array" ref="L52">_xlfn.IFS(K52="","",K52&lt;3,"POOR", K52&lt;4.5,"AVERAGE", K52&gt;=4.5,"EXCELLENT")</f>
        <v/>
      </c>
      <c r="M52" t="str">
        <f t="shared" si="4"/>
        <v/>
      </c>
    </row>
    <row r="53" spans="1:13" x14ac:dyDescent="0.35">
      <c r="A53" t="s">
        <v>68</v>
      </c>
      <c r="B53" s="4">
        <v>299</v>
      </c>
      <c r="C53" s="4">
        <v>384</v>
      </c>
      <c r="D53" s="4">
        <f t="shared" si="0"/>
        <v>85</v>
      </c>
      <c r="E53" s="6">
        <f t="shared" si="1"/>
        <v>0.22135416666666666</v>
      </c>
      <c r="F53" s="1">
        <v>0.22</v>
      </c>
      <c r="G53" s="1" t="str" cm="1">
        <f t="array" ref="G53">_xlfn.IFS(F53&lt;20%, "LOW_DISCOUNT", F53&lt;40%, "MEDIUM_DISCOUNT", F53&gt;=40%,"HIGH_DISCOUNT")</f>
        <v>MEDIUM_DISCOUNT</v>
      </c>
      <c r="I53" t="str">
        <f t="shared" si="2"/>
        <v/>
      </c>
      <c r="K53" t="str">
        <f t="shared" si="3"/>
        <v/>
      </c>
      <c r="L53" t="str" cm="1">
        <f t="array" ref="L53">_xlfn.IFS(K53="","",K53&lt;3,"POOR", K53&lt;4.5,"AVERAGE", K53&gt;=4.5,"EXCELLENT")</f>
        <v/>
      </c>
      <c r="M53" t="str">
        <f t="shared" si="4"/>
        <v/>
      </c>
    </row>
    <row r="54" spans="1:13" x14ac:dyDescent="0.35">
      <c r="A54" t="s">
        <v>69</v>
      </c>
      <c r="B54" s="4">
        <v>1459</v>
      </c>
      <c r="C54" s="4">
        <v>1499</v>
      </c>
      <c r="D54" s="4">
        <f t="shared" si="0"/>
        <v>40</v>
      </c>
      <c r="E54" s="6">
        <f t="shared" si="1"/>
        <v>2.6684456304202801E-2</v>
      </c>
      <c r="F54" s="1">
        <v>0.03</v>
      </c>
      <c r="G54" s="1" t="str" cm="1">
        <f t="array" ref="G54">_xlfn.IFS(F54&lt;20%, "LOW_DISCOUNT", F54&lt;40%, "MEDIUM_DISCOUNT", F54&gt;=40%,"HIGH_DISCOUNT")</f>
        <v>LOW_DISCOUNT</v>
      </c>
      <c r="I54" t="str">
        <f t="shared" si="2"/>
        <v/>
      </c>
      <c r="K54" t="str">
        <f t="shared" si="3"/>
        <v/>
      </c>
      <c r="L54" t="str" cm="1">
        <f t="array" ref="L54">_xlfn.IFS(K54="","",K54&lt;3,"POOR", K54&lt;4.5,"AVERAGE", K54&gt;=4.5,"EXCELLENT")</f>
        <v/>
      </c>
      <c r="M54" t="str">
        <f t="shared" si="4"/>
        <v/>
      </c>
    </row>
    <row r="55" spans="1:13" x14ac:dyDescent="0.35">
      <c r="A55" t="s">
        <v>70</v>
      </c>
      <c r="B55" s="4">
        <v>799</v>
      </c>
      <c r="C55" s="4">
        <v>1343</v>
      </c>
      <c r="D55" s="4">
        <f t="shared" si="0"/>
        <v>544</v>
      </c>
      <c r="E55" s="6">
        <f t="shared" si="1"/>
        <v>0.4050632911392405</v>
      </c>
      <c r="F55" s="1">
        <v>0.41</v>
      </c>
      <c r="G55" s="1" t="str" cm="1">
        <f t="array" ref="G55">_xlfn.IFS(F55&lt;20%, "LOW_DISCOUNT", F55&lt;40%, "MEDIUM_DISCOUNT", F55&gt;=40%,"HIGH_DISCOUNT")</f>
        <v>HIGH_DISCOUNT</v>
      </c>
      <c r="I55" t="str">
        <f t="shared" si="2"/>
        <v/>
      </c>
      <c r="K55" t="str">
        <f t="shared" si="3"/>
        <v/>
      </c>
      <c r="L55" t="str" cm="1">
        <f t="array" ref="L55">_xlfn.IFS(K55="","",K55&lt;3,"POOR", K55&lt;4.5,"AVERAGE", K55&gt;=4.5,"EXCELLENT")</f>
        <v/>
      </c>
      <c r="M55" t="str">
        <f t="shared" si="4"/>
        <v/>
      </c>
    </row>
    <row r="56" spans="1:13" x14ac:dyDescent="0.35">
      <c r="B56" s="4">
        <v>499</v>
      </c>
      <c r="C56" s="4">
        <v>900</v>
      </c>
      <c r="D56" s="4">
        <f t="shared" si="0"/>
        <v>401</v>
      </c>
      <c r="E56" s="6">
        <f t="shared" si="1"/>
        <v>0.44555555555555554</v>
      </c>
      <c r="F56" s="1">
        <v>0.45</v>
      </c>
      <c r="G56" s="1" t="str" cm="1">
        <f t="array" ref="G56">_xlfn.IFS(F56&lt;20%, "LOW_DISCOUNT", F56&lt;40%, "MEDIUM_DISCOUNT", F56&gt;=40%,"HIGH_DISCOUNT")</f>
        <v>HIGH_DISCOUNT</v>
      </c>
      <c r="I56" t="str">
        <f t="shared" si="2"/>
        <v/>
      </c>
      <c r="K56" t="str">
        <f t="shared" si="3"/>
        <v/>
      </c>
      <c r="L56" t="str" cm="1">
        <f t="array" ref="L56">_xlfn.IFS(K56="","",K56&lt;3,"POOR", K56&lt;4.5,"AVERAGE", K56&gt;=4.5,"EXCELLENT")</f>
        <v/>
      </c>
      <c r="M56" t="str">
        <f t="shared" si="4"/>
        <v/>
      </c>
    </row>
    <row r="57" spans="1:13" x14ac:dyDescent="0.35">
      <c r="A57" t="s">
        <v>72</v>
      </c>
      <c r="B57" s="4">
        <v>699</v>
      </c>
      <c r="C57" s="4">
        <v>1343</v>
      </c>
      <c r="D57" s="4">
        <f t="shared" si="0"/>
        <v>644</v>
      </c>
      <c r="E57" s="6">
        <f t="shared" si="1"/>
        <v>0.47952345495160087</v>
      </c>
      <c r="F57" s="1">
        <v>0.48</v>
      </c>
      <c r="G57" s="1" t="str" cm="1">
        <f t="array" ref="G57">_xlfn.IFS(F57&lt;20%, "LOW_DISCOUNT", F57&lt;40%, "MEDIUM_DISCOUNT", F57&gt;=40%,"HIGH_DISCOUNT")</f>
        <v>HIGH_DISCOUNT</v>
      </c>
      <c r="I57" t="str">
        <f t="shared" si="2"/>
        <v/>
      </c>
      <c r="K57" t="str">
        <f t="shared" si="3"/>
        <v/>
      </c>
      <c r="L57" t="str" cm="1">
        <f t="array" ref="L57">_xlfn.IFS(K57="","",K57&lt;3,"POOR", K57&lt;4.5,"AVERAGE", K57&gt;=4.5,"EXCELLENT")</f>
        <v/>
      </c>
      <c r="M57" t="str">
        <f t="shared" si="4"/>
        <v/>
      </c>
    </row>
    <row r="58" spans="1:13" x14ac:dyDescent="0.35">
      <c r="B58" s="4">
        <v>799</v>
      </c>
      <c r="C58" s="4">
        <v>1567</v>
      </c>
      <c r="D58" s="4">
        <f t="shared" si="0"/>
        <v>768</v>
      </c>
      <c r="E58" s="6">
        <f t="shared" si="1"/>
        <v>0.49010848755583919</v>
      </c>
      <c r="F58" s="1">
        <v>0.49</v>
      </c>
      <c r="G58" s="1" t="str" cm="1">
        <f t="array" ref="G58">_xlfn.IFS(F58&lt;20%, "LOW_DISCOUNT", F58&lt;40%, "MEDIUM_DISCOUNT", F58&gt;=40%,"HIGH_DISCOUNT")</f>
        <v>HIGH_DISCOUNT</v>
      </c>
      <c r="I58" t="str">
        <f t="shared" si="2"/>
        <v/>
      </c>
      <c r="K58" t="str">
        <f t="shared" si="3"/>
        <v/>
      </c>
      <c r="L58" t="str" cm="1">
        <f t="array" ref="L58">_xlfn.IFS(K58="","",K58&lt;3,"POOR", K58&lt;4.5,"AVERAGE", K58&gt;=4.5,"EXCELLENT")</f>
        <v/>
      </c>
      <c r="M58" t="str">
        <f t="shared" si="4"/>
        <v/>
      </c>
    </row>
    <row r="59" spans="1:13" x14ac:dyDescent="0.35">
      <c r="A59" t="s">
        <v>74</v>
      </c>
      <c r="B59" s="4">
        <v>2799</v>
      </c>
      <c r="C59" s="4">
        <v>3810</v>
      </c>
      <c r="D59" s="4">
        <f t="shared" si="0"/>
        <v>1011</v>
      </c>
      <c r="E59" s="6">
        <f t="shared" si="1"/>
        <v>0.26535433070866143</v>
      </c>
      <c r="F59" s="1">
        <v>0.27</v>
      </c>
      <c r="G59" s="1" t="str" cm="1">
        <f t="array" ref="G59">_xlfn.IFS(F59&lt;20%, "LOW_DISCOUNT", F59&lt;40%, "MEDIUM_DISCOUNT", F59&gt;=40%,"HIGH_DISCOUNT")</f>
        <v>MEDIUM_DISCOUNT</v>
      </c>
      <c r="I59" t="str">
        <f t="shared" si="2"/>
        <v/>
      </c>
      <c r="K59" t="str">
        <f t="shared" si="3"/>
        <v/>
      </c>
      <c r="L59" t="str" cm="1">
        <f t="array" ref="L59">_xlfn.IFS(K59="","",K59&lt;3,"POOR", K59&lt;4.5,"AVERAGE", K59&gt;=4.5,"EXCELLENT")</f>
        <v/>
      </c>
      <c r="M59" t="str">
        <f t="shared" si="4"/>
        <v/>
      </c>
    </row>
    <row r="60" spans="1:13" x14ac:dyDescent="0.35">
      <c r="A60" t="s">
        <v>71</v>
      </c>
      <c r="B60" s="4">
        <v>399</v>
      </c>
      <c r="C60" s="4">
        <v>896</v>
      </c>
      <c r="D60" s="4">
        <f t="shared" si="0"/>
        <v>497</v>
      </c>
      <c r="E60" s="6">
        <f t="shared" si="1"/>
        <v>0.5546875</v>
      </c>
      <c r="F60" s="1">
        <v>0.55000000000000004</v>
      </c>
      <c r="G60" s="1" t="str" cm="1">
        <f t="array" ref="G60">_xlfn.IFS(F60&lt;20%, "LOW_DISCOUNT", F60&lt;40%, "MEDIUM_DISCOUNT", F60&gt;=40%,"HIGH_DISCOUNT")</f>
        <v>HIGH_DISCOUNT</v>
      </c>
      <c r="I60" t="str">
        <f t="shared" si="2"/>
        <v/>
      </c>
      <c r="K60" t="str">
        <f t="shared" si="3"/>
        <v/>
      </c>
      <c r="L60" t="str" cm="1">
        <f t="array" ref="L60">_xlfn.IFS(K60="","",K60&lt;3,"POOR", K60&lt;4.5,"AVERAGE", K60&gt;=4.5,"EXCELLENT")</f>
        <v/>
      </c>
      <c r="M60" t="str">
        <f t="shared" si="4"/>
        <v/>
      </c>
    </row>
    <row r="61" spans="1:13" x14ac:dyDescent="0.35">
      <c r="A61" t="s">
        <v>75</v>
      </c>
      <c r="B61" s="4">
        <v>2170</v>
      </c>
      <c r="C61" s="4">
        <v>2500</v>
      </c>
      <c r="D61" s="4">
        <f t="shared" si="0"/>
        <v>330</v>
      </c>
      <c r="E61" s="6">
        <f t="shared" si="1"/>
        <v>0.13200000000000001</v>
      </c>
      <c r="F61" s="1">
        <v>0.13</v>
      </c>
      <c r="G61" s="1" t="str" cm="1">
        <f t="array" ref="G61">_xlfn.IFS(F61&lt;20%, "LOW_DISCOUNT", F61&lt;40%, "MEDIUM_DISCOUNT", F61&gt;=40%,"HIGH_DISCOUNT")</f>
        <v>LOW_DISCOUNT</v>
      </c>
      <c r="H61">
        <v>-6</v>
      </c>
      <c r="I61">
        <f t="shared" si="2"/>
        <v>6</v>
      </c>
      <c r="J61" t="s">
        <v>76</v>
      </c>
      <c r="K61">
        <f t="shared" si="3"/>
        <v>2.5</v>
      </c>
      <c r="L61" t="str" cm="1">
        <f t="array" ref="L61">_xlfn.IFS(K61="","",K61&lt;3,"POOR", K61&lt;4.5,"AVERAGE", K61&gt;=4.5,"EXCELLENT")</f>
        <v>POOR</v>
      </c>
      <c r="M61">
        <f t="shared" si="4"/>
        <v>3.3075000000000006</v>
      </c>
    </row>
    <row r="62" spans="1:13" x14ac:dyDescent="0.35">
      <c r="A62" t="s">
        <v>77</v>
      </c>
      <c r="B62" s="4">
        <v>458</v>
      </c>
      <c r="C62" s="4">
        <v>986</v>
      </c>
      <c r="D62" s="4">
        <f t="shared" si="0"/>
        <v>528</v>
      </c>
      <c r="E62" s="6">
        <f t="shared" si="1"/>
        <v>0.53549695740365111</v>
      </c>
      <c r="F62" s="1">
        <v>0.54</v>
      </c>
      <c r="G62" s="1" t="str" cm="1">
        <f t="array" ref="G62">_xlfn.IFS(F62&lt;20%, "LOW_DISCOUNT", F62&lt;40%, "MEDIUM_DISCOUNT", F62&gt;=40%,"HIGH_DISCOUNT")</f>
        <v>HIGH_DISCOUNT</v>
      </c>
      <c r="H62">
        <v>-10</v>
      </c>
      <c r="I62">
        <f t="shared" si="2"/>
        <v>10</v>
      </c>
      <c r="J62" t="s">
        <v>78</v>
      </c>
      <c r="K62">
        <f t="shared" si="3"/>
        <v>3</v>
      </c>
      <c r="L62" t="str" cm="1">
        <f t="array" ref="L62">_xlfn.IFS(K62="","",K62&lt;3,"POOR", K62&lt;4.5,"AVERAGE", K62&gt;=4.5,"EXCELLENT")</f>
        <v>AVERAGE</v>
      </c>
      <c r="M62">
        <f t="shared" si="4"/>
        <v>5.1849999999999996</v>
      </c>
    </row>
    <row r="63" spans="1:13" x14ac:dyDescent="0.35">
      <c r="A63" t="s">
        <v>79</v>
      </c>
      <c r="B63" s="4">
        <v>2115</v>
      </c>
      <c r="C63" s="4">
        <v>4700</v>
      </c>
      <c r="D63" s="4">
        <f t="shared" si="0"/>
        <v>2585</v>
      </c>
      <c r="E63" s="6">
        <f t="shared" si="1"/>
        <v>0.55000000000000004</v>
      </c>
      <c r="F63" s="1">
        <v>0.55000000000000004</v>
      </c>
      <c r="G63" s="1" t="str" cm="1">
        <f t="array" ref="G63">_xlfn.IFS(F63&lt;20%, "LOW_DISCOUNT", F63&lt;40%, "MEDIUM_DISCOUNT", F63&gt;=40%,"HIGH_DISCOUNT")</f>
        <v>HIGH_DISCOUNT</v>
      </c>
      <c r="H63">
        <v>-13</v>
      </c>
      <c r="I63">
        <f t="shared" si="2"/>
        <v>13</v>
      </c>
      <c r="J63" t="s">
        <v>80</v>
      </c>
      <c r="K63">
        <f t="shared" si="3"/>
        <v>2.1</v>
      </c>
      <c r="L63" t="str" cm="1">
        <f t="array" ref="L63">_xlfn.IFS(K63="","",K63&lt;3,"POOR", K63&lt;4.5,"AVERAGE", K63&gt;=4.5,"EXCELLENT")</f>
        <v>POOR</v>
      </c>
      <c r="M63">
        <f t="shared" si="4"/>
        <v>6.0725000000000007</v>
      </c>
    </row>
    <row r="64" spans="1:13" x14ac:dyDescent="0.35">
      <c r="A64" t="s">
        <v>81</v>
      </c>
      <c r="B64" s="4">
        <v>445</v>
      </c>
      <c r="C64" s="4">
        <v>873</v>
      </c>
      <c r="D64" s="4">
        <f t="shared" si="0"/>
        <v>428</v>
      </c>
      <c r="E64" s="6">
        <f t="shared" si="1"/>
        <v>0.49026345933562426</v>
      </c>
      <c r="F64" s="1">
        <v>0.49</v>
      </c>
      <c r="G64" s="1" t="str" cm="1">
        <f t="array" ref="G64">_xlfn.IFS(F64&lt;20%, "LOW_DISCOUNT", F64&lt;40%, "MEDIUM_DISCOUNT", F64&gt;=40%,"HIGH_DISCOUNT")</f>
        <v>HIGH_DISCOUNT</v>
      </c>
      <c r="H64">
        <v>-69</v>
      </c>
      <c r="I64">
        <f t="shared" si="2"/>
        <v>69</v>
      </c>
      <c r="J64" t="s">
        <v>82</v>
      </c>
      <c r="K64">
        <f t="shared" si="3"/>
        <v>2.8</v>
      </c>
      <c r="L64" t="str" cm="1">
        <f t="array" ref="L64">_xlfn.IFS(K64="","",K64&lt;3,"POOR", K64&lt;4.5,"AVERAGE", K64&gt;=4.5,"EXCELLENT")</f>
        <v>POOR</v>
      </c>
      <c r="M64">
        <f t="shared" si="4"/>
        <v>28.702500000000001</v>
      </c>
    </row>
    <row r="65" spans="1:13" x14ac:dyDescent="0.35">
      <c r="A65" t="s">
        <v>83</v>
      </c>
      <c r="B65" s="4">
        <v>325</v>
      </c>
      <c r="C65" s="4">
        <v>680</v>
      </c>
      <c r="D65" s="4">
        <f t="shared" si="0"/>
        <v>355</v>
      </c>
      <c r="E65" s="6">
        <f t="shared" si="1"/>
        <v>0.5220588235294118</v>
      </c>
      <c r="F65" s="1">
        <v>0.52</v>
      </c>
      <c r="G65" s="1" t="str" cm="1">
        <f t="array" ref="G65">_xlfn.IFS(F65&lt;20%, "LOW_DISCOUNT", F65&lt;40%, "MEDIUM_DISCOUNT", F65&gt;=40%,"HIGH_DISCOUNT")</f>
        <v>HIGH_DISCOUNT</v>
      </c>
      <c r="H65">
        <v>-15</v>
      </c>
      <c r="I65">
        <f t="shared" si="2"/>
        <v>15</v>
      </c>
      <c r="J65" t="s">
        <v>84</v>
      </c>
      <c r="K65">
        <f t="shared" si="3"/>
        <v>2.7</v>
      </c>
      <c r="L65" t="str" cm="1">
        <f t="array" ref="L65">_xlfn.IFS(K65="","",K65&lt;3,"POOR", K65&lt;4.5,"AVERAGE", K65&gt;=4.5,"EXCELLENT")</f>
        <v>POOR</v>
      </c>
      <c r="M65">
        <f t="shared" si="4"/>
        <v>7.0750000000000002</v>
      </c>
    </row>
    <row r="66" spans="1:13" x14ac:dyDescent="0.35">
      <c r="A66" t="s">
        <v>85</v>
      </c>
      <c r="B66" s="4">
        <v>1220</v>
      </c>
      <c r="C66" s="4">
        <v>1555</v>
      </c>
      <c r="D66" s="4">
        <f t="shared" si="0"/>
        <v>335</v>
      </c>
      <c r="E66" s="6">
        <f t="shared" si="1"/>
        <v>0.21543408360128619</v>
      </c>
      <c r="F66" s="1">
        <v>0.22</v>
      </c>
      <c r="G66" s="1" t="str" cm="1">
        <f t="array" ref="G66">_xlfn.IFS(F66&lt;20%, "LOW_DISCOUNT", F66&lt;40%, "MEDIUM_DISCOUNT", F66&gt;=40%,"HIGH_DISCOUNT")</f>
        <v>MEDIUM_DISCOUNT</v>
      </c>
      <c r="H66">
        <v>-16</v>
      </c>
      <c r="I66">
        <f t="shared" si="2"/>
        <v>16</v>
      </c>
      <c r="J66" t="s">
        <v>86</v>
      </c>
      <c r="K66">
        <f t="shared" si="3"/>
        <v>2.9</v>
      </c>
      <c r="L66" t="str" cm="1">
        <f t="array" ref="L66">_xlfn.IFS(K66="","",K66&lt;3,"POOR", K66&lt;4.5,"AVERAGE", K66&gt;=4.5,"EXCELLENT")</f>
        <v>POOR</v>
      </c>
      <c r="M66">
        <f t="shared" si="4"/>
        <v>7.47</v>
      </c>
    </row>
    <row r="67" spans="1:13" x14ac:dyDescent="0.35">
      <c r="A67" t="s">
        <v>87</v>
      </c>
      <c r="B67" s="4">
        <v>990</v>
      </c>
      <c r="C67" s="4">
        <v>1814</v>
      </c>
      <c r="D67" s="4">
        <f t="shared" ref="D67:D113" si="5">C67-B67</f>
        <v>824</v>
      </c>
      <c r="E67" s="6">
        <f t="shared" ref="E67:E113" si="6">D67/C67</f>
        <v>0.45424476295479604</v>
      </c>
      <c r="F67" s="1">
        <v>0.45</v>
      </c>
      <c r="G67" s="1" t="str" cm="1">
        <f t="array" ref="G67">_xlfn.IFS(F67&lt;20%, "LOW_DISCOUNT", F67&lt;40%, "MEDIUM_DISCOUNT", F67&gt;=40%,"HIGH_DISCOUNT")</f>
        <v>HIGH_DISCOUNT</v>
      </c>
      <c r="H67">
        <v>-6</v>
      </c>
      <c r="I67">
        <f t="shared" ref="I67:I113" si="7">IF(H67="", "", ABS(H67))</f>
        <v>6</v>
      </c>
      <c r="J67" t="s">
        <v>88</v>
      </c>
      <c r="K67">
        <f t="shared" ref="K67:K113" si="8">IF(J67="","",VALUE(LEFT(J67, FIND(" ", J67))))</f>
        <v>2.2000000000000002</v>
      </c>
      <c r="L67" t="str" cm="1">
        <f t="array" ref="L67">_xlfn.IFS(K67="","",K67&lt;3,"POOR", K67&lt;4.5,"AVERAGE", K67&gt;=4.5,"EXCELLENT")</f>
        <v>POOR</v>
      </c>
      <c r="M67">
        <f t="shared" ref="M67:M130" si="9">IF(K67="","",($K67*$P$42)+($I67*$P$43)+($F67*$P$44))</f>
        <v>3.2825000000000002</v>
      </c>
    </row>
    <row r="68" spans="1:13" x14ac:dyDescent="0.35">
      <c r="A68" t="s">
        <v>89</v>
      </c>
      <c r="B68" s="4">
        <v>1000</v>
      </c>
      <c r="C68" s="4">
        <v>2000</v>
      </c>
      <c r="D68" s="4">
        <f t="shared" si="5"/>
        <v>1000</v>
      </c>
      <c r="E68" s="6">
        <f t="shared" si="6"/>
        <v>0.5</v>
      </c>
      <c r="F68" s="1">
        <v>0.5</v>
      </c>
      <c r="G68" s="1" t="str" cm="1">
        <f t="array" ref="G68">_xlfn.IFS(F68&lt;20%, "LOW_DISCOUNT", F68&lt;40%, "MEDIUM_DISCOUNT", F68&gt;=40%,"HIGH_DISCOUNT")</f>
        <v>HIGH_DISCOUNT</v>
      </c>
      <c r="H68">
        <v>-7</v>
      </c>
      <c r="I68">
        <f t="shared" si="7"/>
        <v>7</v>
      </c>
      <c r="J68" t="s">
        <v>90</v>
      </c>
      <c r="K68">
        <f t="shared" si="8"/>
        <v>2.2999999999999998</v>
      </c>
      <c r="L68" t="str" cm="1">
        <f t="array" ref="L68">_xlfn.IFS(K68="","",K68&lt;3,"POOR", K68&lt;4.5,"AVERAGE", K68&gt;=4.5,"EXCELLENT")</f>
        <v>POOR</v>
      </c>
      <c r="M68">
        <f t="shared" si="9"/>
        <v>3.7300000000000004</v>
      </c>
    </row>
    <row r="69" spans="1:13" x14ac:dyDescent="0.35">
      <c r="A69" t="s">
        <v>91</v>
      </c>
      <c r="B69" s="4">
        <v>3750</v>
      </c>
      <c r="C69" s="4">
        <v>6143</v>
      </c>
      <c r="D69" s="4">
        <f t="shared" si="5"/>
        <v>2393</v>
      </c>
      <c r="E69" s="6">
        <f t="shared" si="6"/>
        <v>0.38954908025394758</v>
      </c>
      <c r="F69" s="1">
        <v>0.39</v>
      </c>
      <c r="G69" s="1" t="str" cm="1">
        <f t="array" ref="G69">_xlfn.IFS(F69&lt;20%, "LOW_DISCOUNT", F69&lt;40%, "MEDIUM_DISCOUNT", F69&gt;=40%,"HIGH_DISCOUNT")</f>
        <v>MEDIUM_DISCOUNT</v>
      </c>
      <c r="H69">
        <v>-5</v>
      </c>
      <c r="I69">
        <f t="shared" si="7"/>
        <v>5</v>
      </c>
      <c r="J69" t="s">
        <v>78</v>
      </c>
      <c r="K69">
        <f t="shared" si="8"/>
        <v>3</v>
      </c>
      <c r="L69" t="str" cm="1">
        <f t="array" ref="L69">_xlfn.IFS(K69="","",K69&lt;3,"POOR", K69&lt;4.5,"AVERAGE", K69&gt;=4.5,"EXCELLENT")</f>
        <v>AVERAGE</v>
      </c>
      <c r="M69">
        <f t="shared" si="9"/>
        <v>3.1475</v>
      </c>
    </row>
    <row r="70" spans="1:13" x14ac:dyDescent="0.35">
      <c r="A70" t="s">
        <v>92</v>
      </c>
      <c r="B70" s="4">
        <v>382</v>
      </c>
      <c r="C70" s="4">
        <v>700</v>
      </c>
      <c r="D70" s="4">
        <f t="shared" si="5"/>
        <v>318</v>
      </c>
      <c r="E70" s="6">
        <f t="shared" si="6"/>
        <v>0.45428571428571429</v>
      </c>
      <c r="F70" s="1">
        <v>0.45</v>
      </c>
      <c r="G70" s="1" t="str" cm="1">
        <f t="array" ref="G70">_xlfn.IFS(F70&lt;20%, "LOW_DISCOUNT", F70&lt;40%, "MEDIUM_DISCOUNT", F70&gt;=40%,"HIGH_DISCOUNT")</f>
        <v>HIGH_DISCOUNT</v>
      </c>
      <c r="H70">
        <v>-17</v>
      </c>
      <c r="I70">
        <f t="shared" si="7"/>
        <v>17</v>
      </c>
      <c r="J70" t="s">
        <v>93</v>
      </c>
      <c r="K70">
        <f t="shared" si="8"/>
        <v>2.6</v>
      </c>
      <c r="L70" t="str" cm="1">
        <f t="array" ref="L70">_xlfn.IFS(K70="","",K70&lt;3,"POOR", K70&lt;4.5,"AVERAGE", K70&gt;=4.5,"EXCELLENT")</f>
        <v>POOR</v>
      </c>
      <c r="M70">
        <f t="shared" si="9"/>
        <v>7.8225000000000007</v>
      </c>
    </row>
    <row r="71" spans="1:13" x14ac:dyDescent="0.35">
      <c r="A71" t="s">
        <v>94</v>
      </c>
      <c r="B71" s="4">
        <v>2300</v>
      </c>
      <c r="C71" s="4">
        <v>3240</v>
      </c>
      <c r="D71" s="4">
        <f t="shared" si="5"/>
        <v>940</v>
      </c>
      <c r="E71" s="6">
        <f t="shared" si="6"/>
        <v>0.29012345679012347</v>
      </c>
      <c r="F71" s="1">
        <v>0.28999999999999998</v>
      </c>
      <c r="G71" s="1" t="str" cm="1">
        <f t="array" ref="G71">_xlfn.IFS(F71&lt;20%, "LOW_DISCOUNT", F71&lt;40%, "MEDIUM_DISCOUNT", F71&gt;=40%,"HIGH_DISCOUNT")</f>
        <v>MEDIUM_DISCOUNT</v>
      </c>
      <c r="H71">
        <v>-5</v>
      </c>
      <c r="I71">
        <f t="shared" si="7"/>
        <v>5</v>
      </c>
      <c r="J71" t="s">
        <v>78</v>
      </c>
      <c r="K71">
        <f t="shared" si="8"/>
        <v>3</v>
      </c>
      <c r="L71" t="str" cm="1">
        <f t="array" ref="L71">_xlfn.IFS(K71="","",K71&lt;3,"POOR", K71&lt;4.5,"AVERAGE", K71&gt;=4.5,"EXCELLENT")</f>
        <v>AVERAGE</v>
      </c>
      <c r="M71">
        <f t="shared" si="9"/>
        <v>3.1224999999999996</v>
      </c>
    </row>
    <row r="72" spans="1:13" x14ac:dyDescent="0.35">
      <c r="A72" t="s">
        <v>95</v>
      </c>
      <c r="B72" s="4">
        <v>345</v>
      </c>
      <c r="C72" s="4">
        <v>602</v>
      </c>
      <c r="D72" s="4">
        <f t="shared" si="5"/>
        <v>257</v>
      </c>
      <c r="E72" s="6">
        <f t="shared" si="6"/>
        <v>0.42691029900332228</v>
      </c>
      <c r="F72" s="1">
        <v>0.43</v>
      </c>
      <c r="G72" s="1" t="str" cm="1">
        <f t="array" ref="G72">_xlfn.IFS(F72&lt;20%, "LOW_DISCOUNT", F72&lt;40%, "MEDIUM_DISCOUNT", F72&gt;=40%,"HIGH_DISCOUNT")</f>
        <v>HIGH_DISCOUNT</v>
      </c>
      <c r="H72">
        <v>-6</v>
      </c>
      <c r="I72">
        <f t="shared" si="7"/>
        <v>6</v>
      </c>
      <c r="J72" t="s">
        <v>90</v>
      </c>
      <c r="K72">
        <f t="shared" si="8"/>
        <v>2.2999999999999998</v>
      </c>
      <c r="L72" t="str" cm="1">
        <f t="array" ref="L72">_xlfn.IFS(K72="","",K72&lt;3,"POOR", K72&lt;4.5,"AVERAGE", K72&gt;=4.5,"EXCELLENT")</f>
        <v>POOR</v>
      </c>
      <c r="M72">
        <f t="shared" si="9"/>
        <v>3.3125</v>
      </c>
    </row>
    <row r="73" spans="1:13" x14ac:dyDescent="0.35">
      <c r="A73" t="s">
        <v>96</v>
      </c>
      <c r="B73" s="4">
        <v>509</v>
      </c>
      <c r="C73" s="4">
        <v>899</v>
      </c>
      <c r="D73" s="4">
        <f t="shared" si="5"/>
        <v>390</v>
      </c>
      <c r="E73" s="6">
        <f t="shared" si="6"/>
        <v>0.43381535038932145</v>
      </c>
      <c r="F73" s="1">
        <v>0.43</v>
      </c>
      <c r="G73" s="1" t="str" cm="1">
        <f t="array" ref="G73">_xlfn.IFS(F73&lt;20%, "LOW_DISCOUNT", F73&lt;40%, "MEDIUM_DISCOUNT", F73&gt;=40%,"HIGH_DISCOUNT")</f>
        <v>HIGH_DISCOUNT</v>
      </c>
      <c r="H73">
        <v>-5</v>
      </c>
      <c r="I73">
        <f t="shared" si="7"/>
        <v>5</v>
      </c>
      <c r="J73" t="s">
        <v>78</v>
      </c>
      <c r="K73">
        <f t="shared" si="8"/>
        <v>3</v>
      </c>
      <c r="L73" t="str" cm="1">
        <f t="array" ref="L73">_xlfn.IFS(K73="","",K73&lt;3,"POOR", K73&lt;4.5,"AVERAGE", K73&gt;=4.5,"EXCELLENT")</f>
        <v>AVERAGE</v>
      </c>
      <c r="M73">
        <f t="shared" si="9"/>
        <v>3.1574999999999998</v>
      </c>
    </row>
    <row r="74" spans="1:13" x14ac:dyDescent="0.35">
      <c r="A74" t="s">
        <v>97</v>
      </c>
      <c r="B74" s="4">
        <v>968</v>
      </c>
      <c r="C74" s="4">
        <v>1814</v>
      </c>
      <c r="D74" s="4">
        <f t="shared" si="5"/>
        <v>846</v>
      </c>
      <c r="E74" s="6">
        <f t="shared" si="6"/>
        <v>0.46637265711135611</v>
      </c>
      <c r="F74" s="1">
        <v>0.47</v>
      </c>
      <c r="G74" s="1" t="str" cm="1">
        <f t="array" ref="G74">_xlfn.IFS(F74&lt;20%, "LOW_DISCOUNT", F74&lt;40%, "MEDIUM_DISCOUNT", F74&gt;=40%,"HIGH_DISCOUNT")</f>
        <v>HIGH_DISCOUNT</v>
      </c>
      <c r="H74">
        <v>-6</v>
      </c>
      <c r="I74">
        <f t="shared" si="7"/>
        <v>6</v>
      </c>
      <c r="J74" t="s">
        <v>88</v>
      </c>
      <c r="K74">
        <f t="shared" si="8"/>
        <v>2.2000000000000002</v>
      </c>
      <c r="L74" t="str" cm="1">
        <f t="array" ref="L74">_xlfn.IFS(K74="","",K74&lt;3,"POOR", K74&lt;4.5,"AVERAGE", K74&gt;=4.5,"EXCELLENT")</f>
        <v>POOR</v>
      </c>
      <c r="M74">
        <f t="shared" si="9"/>
        <v>3.2875000000000005</v>
      </c>
    </row>
    <row r="75" spans="1:13" x14ac:dyDescent="0.35">
      <c r="A75" t="s">
        <v>98</v>
      </c>
      <c r="B75" s="4">
        <v>1570</v>
      </c>
      <c r="C75" s="4">
        <v>2988</v>
      </c>
      <c r="D75" s="4">
        <f t="shared" si="5"/>
        <v>1418</v>
      </c>
      <c r="E75" s="6">
        <f t="shared" si="6"/>
        <v>0.4745649263721553</v>
      </c>
      <c r="F75" s="1">
        <v>0.47</v>
      </c>
      <c r="G75" s="1" t="str" cm="1">
        <f t="array" ref="G75">_xlfn.IFS(F75&lt;20%, "LOW_DISCOUNT", F75&lt;40%, "MEDIUM_DISCOUNT", F75&gt;=40%,"HIGH_DISCOUNT")</f>
        <v>HIGH_DISCOUNT</v>
      </c>
      <c r="H75">
        <v>-7</v>
      </c>
      <c r="I75">
        <f t="shared" si="7"/>
        <v>7</v>
      </c>
      <c r="J75" t="s">
        <v>80</v>
      </c>
      <c r="K75">
        <f t="shared" si="8"/>
        <v>2.1</v>
      </c>
      <c r="L75" t="str" cm="1">
        <f t="array" ref="L75">_xlfn.IFS(K75="","",K75&lt;3,"POOR", K75&lt;4.5,"AVERAGE", K75&gt;=4.5,"EXCELLENT")</f>
        <v>POOR</v>
      </c>
      <c r="M75">
        <f t="shared" si="9"/>
        <v>3.6525000000000003</v>
      </c>
    </row>
    <row r="76" spans="1:13" x14ac:dyDescent="0.35">
      <c r="A76" t="s">
        <v>99</v>
      </c>
      <c r="B76" s="4">
        <v>790</v>
      </c>
      <c r="C76" s="4">
        <v>1485</v>
      </c>
      <c r="D76" s="4">
        <f t="shared" si="5"/>
        <v>695</v>
      </c>
      <c r="E76" s="6">
        <f t="shared" si="6"/>
        <v>0.46801346801346799</v>
      </c>
      <c r="F76" s="1">
        <v>0.47</v>
      </c>
      <c r="G76" s="1" t="str" cm="1">
        <f t="array" ref="G76">_xlfn.IFS(F76&lt;20%, "LOW_DISCOUNT", F76&lt;40%, "MEDIUM_DISCOUNT", F76&gt;=40%,"HIGH_DISCOUNT")</f>
        <v>HIGH_DISCOUNT</v>
      </c>
      <c r="I76" t="str">
        <f t="shared" si="7"/>
        <v/>
      </c>
      <c r="K76" t="str">
        <f t="shared" si="8"/>
        <v/>
      </c>
      <c r="L76" t="str" cm="1">
        <f t="array" ref="L76">_xlfn.IFS(K76="","",K76&lt;3,"POOR", K76&lt;4.5,"AVERAGE", K76&gt;=4.5,"EXCELLENT")</f>
        <v/>
      </c>
      <c r="M76" t="str">
        <f t="shared" si="9"/>
        <v/>
      </c>
    </row>
    <row r="77" spans="1:13" x14ac:dyDescent="0.35">
      <c r="A77" t="s">
        <v>100</v>
      </c>
      <c r="B77" s="4">
        <v>690</v>
      </c>
      <c r="C77" s="4">
        <v>1200</v>
      </c>
      <c r="D77" s="4">
        <f t="shared" si="5"/>
        <v>510</v>
      </c>
      <c r="E77" s="6">
        <f t="shared" si="6"/>
        <v>0.42499999999999999</v>
      </c>
      <c r="F77" s="1">
        <v>0.43</v>
      </c>
      <c r="G77" s="1" t="str" cm="1">
        <f t="array" ref="G77">_xlfn.IFS(F77&lt;20%, "LOW_DISCOUNT", F77&lt;40%, "MEDIUM_DISCOUNT", F77&gt;=40%,"HIGH_DISCOUNT")</f>
        <v>HIGH_DISCOUNT</v>
      </c>
      <c r="I77" t="str">
        <f t="shared" si="7"/>
        <v/>
      </c>
      <c r="K77" t="str">
        <f t="shared" si="8"/>
        <v/>
      </c>
      <c r="L77" t="str" cm="1">
        <f t="array" ref="L77">_xlfn.IFS(K77="","",K77&lt;3,"POOR", K77&lt;4.5,"AVERAGE", K77&gt;=4.5,"EXCELLENT")</f>
        <v/>
      </c>
      <c r="M77" t="str">
        <f t="shared" si="9"/>
        <v/>
      </c>
    </row>
    <row r="78" spans="1:13" x14ac:dyDescent="0.35">
      <c r="A78" t="s">
        <v>101</v>
      </c>
      <c r="B78" s="4">
        <v>1732</v>
      </c>
      <c r="C78" s="4">
        <v>1799</v>
      </c>
      <c r="D78" s="4">
        <f t="shared" si="5"/>
        <v>67</v>
      </c>
      <c r="E78" s="6">
        <f t="shared" si="6"/>
        <v>3.7242912729294052E-2</v>
      </c>
      <c r="F78" s="1">
        <v>0.04</v>
      </c>
      <c r="G78" s="1" t="str" cm="1">
        <f t="array" ref="G78">_xlfn.IFS(F78&lt;20%, "LOW_DISCOUNT", F78&lt;40%, "MEDIUM_DISCOUNT", F78&gt;=40%,"HIGH_DISCOUNT")</f>
        <v>LOW_DISCOUNT</v>
      </c>
      <c r="I78" t="str">
        <f t="shared" si="7"/>
        <v/>
      </c>
      <c r="K78" t="str">
        <f t="shared" si="8"/>
        <v/>
      </c>
      <c r="L78" t="str" cm="1">
        <f t="array" ref="L78">_xlfn.IFS(K78="","",K78&lt;3,"POOR", K78&lt;4.5,"AVERAGE", K78&gt;=4.5,"EXCELLENT")</f>
        <v/>
      </c>
      <c r="M78" t="str">
        <f t="shared" si="9"/>
        <v/>
      </c>
    </row>
    <row r="79" spans="1:13" x14ac:dyDescent="0.35">
      <c r="A79" t="s">
        <v>102</v>
      </c>
      <c r="B79" s="4">
        <v>230</v>
      </c>
      <c r="C79" s="4">
        <v>450</v>
      </c>
      <c r="D79" s="4">
        <f t="shared" si="5"/>
        <v>220</v>
      </c>
      <c r="E79" s="6">
        <f t="shared" si="6"/>
        <v>0.48888888888888887</v>
      </c>
      <c r="F79" s="1">
        <v>0.49</v>
      </c>
      <c r="G79" s="1" t="str" cm="1">
        <f t="array" ref="G79">_xlfn.IFS(F79&lt;20%, "LOW_DISCOUNT", F79&lt;40%, "MEDIUM_DISCOUNT", F79&gt;=40%,"HIGH_DISCOUNT")</f>
        <v>HIGH_DISCOUNT</v>
      </c>
      <c r="I79" t="str">
        <f t="shared" si="7"/>
        <v/>
      </c>
      <c r="K79" t="str">
        <f t="shared" si="8"/>
        <v/>
      </c>
      <c r="L79" t="str" cm="1">
        <f t="array" ref="L79">_xlfn.IFS(K79="","",K79&lt;3,"POOR", K79&lt;4.5,"AVERAGE", K79&gt;=4.5,"EXCELLENT")</f>
        <v/>
      </c>
      <c r="M79" t="str">
        <f t="shared" si="9"/>
        <v/>
      </c>
    </row>
    <row r="80" spans="1:13" x14ac:dyDescent="0.35">
      <c r="A80" t="s">
        <v>103</v>
      </c>
      <c r="B80" s="4">
        <v>1189</v>
      </c>
      <c r="C80" s="4">
        <v>2199</v>
      </c>
      <c r="D80" s="4">
        <f t="shared" si="5"/>
        <v>1010</v>
      </c>
      <c r="E80" s="6">
        <f t="shared" si="6"/>
        <v>0.45929968167348795</v>
      </c>
      <c r="F80" s="1">
        <v>0.46</v>
      </c>
      <c r="G80" s="1" t="str" cm="1">
        <f t="array" ref="G80">_xlfn.IFS(F80&lt;20%, "LOW_DISCOUNT", F80&lt;40%, "MEDIUM_DISCOUNT", F80&gt;=40%,"HIGH_DISCOUNT")</f>
        <v>HIGH_DISCOUNT</v>
      </c>
      <c r="H80">
        <v>-1</v>
      </c>
      <c r="I80">
        <f t="shared" si="7"/>
        <v>1</v>
      </c>
      <c r="J80" t="s">
        <v>78</v>
      </c>
      <c r="K80">
        <f t="shared" si="8"/>
        <v>3</v>
      </c>
      <c r="L80" t="str" cm="1">
        <f t="array" ref="L80">_xlfn.IFS(K80="","",K80&lt;3,"POOR", K80&lt;4.5,"AVERAGE", K80&gt;=4.5,"EXCELLENT")</f>
        <v>AVERAGE</v>
      </c>
      <c r="M80">
        <f t="shared" si="9"/>
        <v>1.5649999999999997</v>
      </c>
    </row>
    <row r="81" spans="1:13" x14ac:dyDescent="0.35">
      <c r="A81" t="s">
        <v>104</v>
      </c>
      <c r="B81" s="4">
        <v>979</v>
      </c>
      <c r="C81" s="4">
        <v>1920</v>
      </c>
      <c r="D81" s="4">
        <f t="shared" si="5"/>
        <v>941</v>
      </c>
      <c r="E81" s="6">
        <f t="shared" si="6"/>
        <v>0.49010416666666667</v>
      </c>
      <c r="F81" s="1">
        <v>0.49</v>
      </c>
      <c r="G81" s="1" t="str" cm="1">
        <f t="array" ref="G81">_xlfn.IFS(F81&lt;20%, "LOW_DISCOUNT", F81&lt;40%, "MEDIUM_DISCOUNT", F81&gt;=40%,"HIGH_DISCOUNT")</f>
        <v>HIGH_DISCOUNT</v>
      </c>
      <c r="H81">
        <v>-1</v>
      </c>
      <c r="I81">
        <f t="shared" si="7"/>
        <v>1</v>
      </c>
      <c r="J81" t="s">
        <v>29</v>
      </c>
      <c r="K81">
        <f t="shared" si="8"/>
        <v>5</v>
      </c>
      <c r="L81" t="str" cm="1">
        <f t="array" ref="L81">_xlfn.IFS(K81="","",K81&lt;3,"POOR", K81&lt;4.5,"AVERAGE", K81&gt;=4.5,"EXCELLENT")</f>
        <v>EXCELLENT</v>
      </c>
      <c r="M81">
        <f t="shared" si="9"/>
        <v>2.2725</v>
      </c>
    </row>
    <row r="82" spans="1:13" x14ac:dyDescent="0.35">
      <c r="A82" t="s">
        <v>105</v>
      </c>
      <c r="B82" s="4">
        <v>1460</v>
      </c>
      <c r="C82" s="4">
        <v>2290</v>
      </c>
      <c r="D82" s="4">
        <f t="shared" si="5"/>
        <v>830</v>
      </c>
      <c r="E82" s="6">
        <f t="shared" si="6"/>
        <v>0.36244541484716158</v>
      </c>
      <c r="F82" s="1">
        <v>0.36</v>
      </c>
      <c r="G82" s="1" t="str" cm="1">
        <f t="array" ref="G82">_xlfn.IFS(F82&lt;20%, "LOW_DISCOUNT", F82&lt;40%, "MEDIUM_DISCOUNT", F82&gt;=40%,"HIGH_DISCOUNT")</f>
        <v>MEDIUM_DISCOUNT</v>
      </c>
      <c r="I82" t="str">
        <f t="shared" si="7"/>
        <v/>
      </c>
      <c r="K82" t="str">
        <f t="shared" si="8"/>
        <v/>
      </c>
      <c r="L82" t="str" cm="1">
        <f t="array" ref="L82">_xlfn.IFS(K82="","",K82&lt;3,"POOR", K82&lt;4.5,"AVERAGE", K82&gt;=4.5,"EXCELLENT")</f>
        <v/>
      </c>
      <c r="M82" t="str">
        <f t="shared" si="9"/>
        <v/>
      </c>
    </row>
    <row r="83" spans="1:13" x14ac:dyDescent="0.35">
      <c r="A83" t="s">
        <v>106</v>
      </c>
      <c r="B83" s="4">
        <v>1666</v>
      </c>
      <c r="C83" s="4">
        <v>1699</v>
      </c>
      <c r="D83" s="4">
        <f t="shared" si="5"/>
        <v>33</v>
      </c>
      <c r="E83" s="6">
        <f t="shared" si="6"/>
        <v>1.9423190111830489E-2</v>
      </c>
      <c r="F83" s="1">
        <v>0.02</v>
      </c>
      <c r="G83" s="1" t="str" cm="1">
        <f t="array" ref="G83">_xlfn.IFS(F83&lt;20%, "LOW_DISCOUNT", F83&lt;40%, "MEDIUM_DISCOUNT", F83&gt;=40%,"HIGH_DISCOUNT")</f>
        <v>LOW_DISCOUNT</v>
      </c>
      <c r="I83" t="str">
        <f t="shared" si="7"/>
        <v/>
      </c>
      <c r="K83" t="str">
        <f t="shared" si="8"/>
        <v/>
      </c>
      <c r="L83" t="str" cm="1">
        <f t="array" ref="L83">_xlfn.IFS(K83="","",K83&lt;3,"POOR", K83&lt;4.5,"AVERAGE", K83&gt;=4.5,"EXCELLENT")</f>
        <v/>
      </c>
      <c r="M83" t="str">
        <f t="shared" si="9"/>
        <v/>
      </c>
    </row>
    <row r="84" spans="1:13" x14ac:dyDescent="0.35">
      <c r="A84" t="s">
        <v>107</v>
      </c>
      <c r="B84" s="4">
        <v>330</v>
      </c>
      <c r="C84" s="4">
        <v>647</v>
      </c>
      <c r="D84" s="4">
        <f t="shared" si="5"/>
        <v>317</v>
      </c>
      <c r="E84" s="6">
        <f t="shared" si="6"/>
        <v>0.48995363214837712</v>
      </c>
      <c r="F84" s="1">
        <v>0.49</v>
      </c>
      <c r="G84" s="1" t="str" cm="1">
        <f t="array" ref="G84">_xlfn.IFS(F84&lt;20%, "LOW_DISCOUNT", F84&lt;40%, "MEDIUM_DISCOUNT", F84&gt;=40%,"HIGH_DISCOUNT")</f>
        <v>HIGH_DISCOUNT</v>
      </c>
      <c r="H84">
        <v>-1</v>
      </c>
      <c r="I84">
        <f t="shared" si="7"/>
        <v>1</v>
      </c>
      <c r="J84" t="s">
        <v>16</v>
      </c>
      <c r="K84">
        <f t="shared" si="8"/>
        <v>4</v>
      </c>
      <c r="L84" t="str" cm="1">
        <f t="array" ref="L84">_xlfn.IFS(K84="","",K84&lt;3,"POOR", K84&lt;4.5,"AVERAGE", K84&gt;=4.5,"EXCELLENT")</f>
        <v>AVERAGE</v>
      </c>
      <c r="M84">
        <f t="shared" si="9"/>
        <v>1.9224999999999999</v>
      </c>
    </row>
    <row r="85" spans="1:13" x14ac:dyDescent="0.35">
      <c r="A85" t="s">
        <v>65</v>
      </c>
      <c r="B85" s="4">
        <v>176</v>
      </c>
      <c r="C85" s="4">
        <v>345</v>
      </c>
      <c r="D85" s="4">
        <f t="shared" si="5"/>
        <v>169</v>
      </c>
      <c r="E85" s="6">
        <f t="shared" si="6"/>
        <v>0.48985507246376814</v>
      </c>
      <c r="F85" s="1">
        <v>0.49</v>
      </c>
      <c r="G85" s="1" t="str" cm="1">
        <f t="array" ref="G85">_xlfn.IFS(F85&lt;20%, "LOW_DISCOUNT", F85&lt;40%, "MEDIUM_DISCOUNT", F85&gt;=40%,"HIGH_DISCOUNT")</f>
        <v>HIGH_DISCOUNT</v>
      </c>
      <c r="I85" t="str">
        <f t="shared" si="7"/>
        <v/>
      </c>
      <c r="K85" t="str">
        <f t="shared" si="8"/>
        <v/>
      </c>
      <c r="L85" t="str" cm="1">
        <f t="array" ref="L85">_xlfn.IFS(K85="","",K85&lt;3,"POOR", K85&lt;4.5,"AVERAGE", K85&gt;=4.5,"EXCELLENT")</f>
        <v/>
      </c>
      <c r="M85" t="str">
        <f t="shared" si="9"/>
        <v/>
      </c>
    </row>
    <row r="86" spans="1:13" x14ac:dyDescent="0.35">
      <c r="A86" t="s">
        <v>108</v>
      </c>
      <c r="B86" s="4">
        <v>1466</v>
      </c>
      <c r="C86" s="4">
        <v>1699</v>
      </c>
      <c r="D86" s="4">
        <f t="shared" si="5"/>
        <v>233</v>
      </c>
      <c r="E86" s="6">
        <f t="shared" si="6"/>
        <v>0.13713949381989404</v>
      </c>
      <c r="F86" s="1">
        <v>0.14000000000000001</v>
      </c>
      <c r="G86" s="1" t="str" cm="1">
        <f t="array" ref="G86">_xlfn.IFS(F86&lt;20%, "LOW_DISCOUNT", F86&lt;40%, "MEDIUM_DISCOUNT", F86&gt;=40%,"HIGH_DISCOUNT")</f>
        <v>LOW_DISCOUNT</v>
      </c>
      <c r="I86" t="str">
        <f t="shared" si="7"/>
        <v/>
      </c>
      <c r="K86" t="str">
        <f t="shared" si="8"/>
        <v/>
      </c>
      <c r="L86" t="str" cm="1">
        <f t="array" ref="L86">_xlfn.IFS(K86="","",K86&lt;3,"POOR", K86&lt;4.5,"AVERAGE", K86&gt;=4.5,"EXCELLENT")</f>
        <v/>
      </c>
      <c r="M86" t="str">
        <f t="shared" si="9"/>
        <v/>
      </c>
    </row>
    <row r="87" spans="1:13" x14ac:dyDescent="0.35">
      <c r="A87" t="s">
        <v>109</v>
      </c>
      <c r="B87" s="4">
        <v>274</v>
      </c>
      <c r="C87" s="4">
        <v>537</v>
      </c>
      <c r="D87" s="4">
        <f t="shared" si="5"/>
        <v>263</v>
      </c>
      <c r="E87" s="6">
        <f t="shared" si="6"/>
        <v>0.48975791433891991</v>
      </c>
      <c r="F87" s="1">
        <v>0.49</v>
      </c>
      <c r="G87" s="1" t="str" cm="1">
        <f t="array" ref="G87">_xlfn.IFS(F87&lt;20%, "LOW_DISCOUNT", F87&lt;40%, "MEDIUM_DISCOUNT", F87&gt;=40%,"HIGH_DISCOUNT")</f>
        <v>HIGH_DISCOUNT</v>
      </c>
      <c r="I87" t="str">
        <f t="shared" si="7"/>
        <v/>
      </c>
      <c r="K87" t="str">
        <f t="shared" si="8"/>
        <v/>
      </c>
      <c r="L87" t="str" cm="1">
        <f t="array" ref="L87">_xlfn.IFS(K87="","",K87&lt;3,"POOR", K87&lt;4.5,"AVERAGE", K87&gt;=4.5,"EXCELLENT")</f>
        <v/>
      </c>
      <c r="M87" t="str">
        <f t="shared" si="9"/>
        <v/>
      </c>
    </row>
    <row r="88" spans="1:13" x14ac:dyDescent="0.35">
      <c r="A88" t="s">
        <v>110</v>
      </c>
      <c r="B88" s="4">
        <v>799</v>
      </c>
      <c r="C88" s="4">
        <v>900</v>
      </c>
      <c r="D88" s="4">
        <f t="shared" si="5"/>
        <v>101</v>
      </c>
      <c r="E88" s="6">
        <f t="shared" si="6"/>
        <v>0.11222222222222222</v>
      </c>
      <c r="F88" s="1">
        <v>0.11</v>
      </c>
      <c r="G88" s="1" t="str" cm="1">
        <f t="array" ref="G88">_xlfn.IFS(F88&lt;20%, "LOW_DISCOUNT", F88&lt;40%, "MEDIUM_DISCOUNT", F88&gt;=40%,"HIGH_DISCOUNT")</f>
        <v>LOW_DISCOUNT</v>
      </c>
      <c r="I88" t="str">
        <f t="shared" si="7"/>
        <v/>
      </c>
      <c r="K88" t="str">
        <f t="shared" si="8"/>
        <v/>
      </c>
      <c r="L88" t="str" cm="1">
        <f t="array" ref="L88">_xlfn.IFS(K88="","",K88&lt;3,"POOR", K88&lt;4.5,"AVERAGE", K88&gt;=4.5,"EXCELLENT")</f>
        <v/>
      </c>
      <c r="M88" t="str">
        <f t="shared" si="9"/>
        <v/>
      </c>
    </row>
    <row r="89" spans="1:13" x14ac:dyDescent="0.35">
      <c r="A89" t="s">
        <v>73</v>
      </c>
      <c r="B89" s="4">
        <v>657</v>
      </c>
      <c r="C89" s="4">
        <v>1288</v>
      </c>
      <c r="D89" s="4">
        <f t="shared" si="5"/>
        <v>631</v>
      </c>
      <c r="E89" s="6">
        <f t="shared" si="6"/>
        <v>0.48990683229813664</v>
      </c>
      <c r="F89" s="1">
        <v>0.49</v>
      </c>
      <c r="G89" s="1" t="str" cm="1">
        <f t="array" ref="G89">_xlfn.IFS(F89&lt;20%, "LOW_DISCOUNT", F89&lt;40%, "MEDIUM_DISCOUNT", F89&gt;=40%,"HIGH_DISCOUNT")</f>
        <v>HIGH_DISCOUNT</v>
      </c>
      <c r="I89" t="str">
        <f t="shared" si="7"/>
        <v/>
      </c>
      <c r="K89" t="str">
        <f t="shared" si="8"/>
        <v/>
      </c>
      <c r="L89" t="str" cm="1">
        <f t="array" ref="L89">_xlfn.IFS(K89="","",K89&lt;3,"POOR", K89&lt;4.5,"AVERAGE", K89&gt;=4.5,"EXCELLENT")</f>
        <v/>
      </c>
      <c r="M89" t="str">
        <f t="shared" si="9"/>
        <v/>
      </c>
    </row>
    <row r="90" spans="1:13" x14ac:dyDescent="0.35">
      <c r="A90" t="s">
        <v>111</v>
      </c>
      <c r="B90" s="4">
        <v>1468</v>
      </c>
      <c r="C90" s="4">
        <v>1699</v>
      </c>
      <c r="D90" s="4">
        <f t="shared" si="5"/>
        <v>231</v>
      </c>
      <c r="E90" s="6">
        <f t="shared" si="6"/>
        <v>0.13596233078281342</v>
      </c>
      <c r="F90" s="1">
        <v>0.14000000000000001</v>
      </c>
      <c r="G90" s="1" t="str" cm="1">
        <f t="array" ref="G90">_xlfn.IFS(F90&lt;20%, "LOW_DISCOUNT", F90&lt;40%, "MEDIUM_DISCOUNT", F90&gt;=40%,"HIGH_DISCOUNT")</f>
        <v>LOW_DISCOUNT</v>
      </c>
      <c r="I90" t="str">
        <f t="shared" si="7"/>
        <v/>
      </c>
      <c r="K90" t="str">
        <f t="shared" si="8"/>
        <v/>
      </c>
      <c r="L90" t="str" cm="1">
        <f t="array" ref="L90">_xlfn.IFS(K90="","",K90&lt;3,"POOR", K90&lt;4.5,"AVERAGE", K90&gt;=4.5,"EXCELLENT")</f>
        <v/>
      </c>
      <c r="M90" t="str">
        <f t="shared" si="9"/>
        <v/>
      </c>
    </row>
    <row r="91" spans="1:13" x14ac:dyDescent="0.35">
      <c r="A91" t="s">
        <v>112</v>
      </c>
      <c r="B91" s="4">
        <v>630</v>
      </c>
      <c r="C91" s="4">
        <v>1100</v>
      </c>
      <c r="D91" s="4">
        <f t="shared" si="5"/>
        <v>470</v>
      </c>
      <c r="E91" s="6">
        <f t="shared" si="6"/>
        <v>0.42727272727272725</v>
      </c>
      <c r="F91" s="1">
        <v>0.43</v>
      </c>
      <c r="G91" s="1" t="str" cm="1">
        <f t="array" ref="G91">_xlfn.IFS(F91&lt;20%, "LOW_DISCOUNT", F91&lt;40%, "MEDIUM_DISCOUNT", F91&gt;=40%,"HIGH_DISCOUNT")</f>
        <v>HIGH_DISCOUNT</v>
      </c>
      <c r="I91" t="str">
        <f t="shared" si="7"/>
        <v/>
      </c>
      <c r="K91" t="str">
        <f t="shared" si="8"/>
        <v/>
      </c>
      <c r="L91" t="str" cm="1">
        <f t="array" ref="L91">_xlfn.IFS(K91="","",K91&lt;3,"POOR", K91&lt;4.5,"AVERAGE", K91&gt;=4.5,"EXCELLENT")</f>
        <v/>
      </c>
      <c r="M91" t="str">
        <f t="shared" si="9"/>
        <v/>
      </c>
    </row>
    <row r="92" spans="1:13" x14ac:dyDescent="0.35">
      <c r="A92" t="s">
        <v>113</v>
      </c>
      <c r="B92" s="4">
        <v>850</v>
      </c>
      <c r="C92" s="4">
        <v>1700</v>
      </c>
      <c r="D92" s="4">
        <f t="shared" si="5"/>
        <v>850</v>
      </c>
      <c r="E92" s="6">
        <f t="shared" si="6"/>
        <v>0.5</v>
      </c>
      <c r="F92" s="1">
        <v>0.5</v>
      </c>
      <c r="G92" s="1" t="str" cm="1">
        <f t="array" ref="G92">_xlfn.IFS(F92&lt;20%, "LOW_DISCOUNT", F92&lt;40%, "MEDIUM_DISCOUNT", F92&gt;=40%,"HIGH_DISCOUNT")</f>
        <v>HIGH_DISCOUNT</v>
      </c>
      <c r="I92" t="str">
        <f t="shared" si="7"/>
        <v/>
      </c>
      <c r="K92" t="str">
        <f t="shared" si="8"/>
        <v/>
      </c>
      <c r="L92" t="str" cm="1">
        <f t="array" ref="L92">_xlfn.IFS(K92="","",K92&lt;3,"POOR", K92&lt;4.5,"AVERAGE", K92&gt;=4.5,"EXCELLENT")</f>
        <v/>
      </c>
      <c r="M92" t="str">
        <f t="shared" si="9"/>
        <v/>
      </c>
    </row>
    <row r="93" spans="1:13" x14ac:dyDescent="0.35">
      <c r="A93" t="s">
        <v>114</v>
      </c>
      <c r="B93" s="4">
        <v>1300</v>
      </c>
      <c r="C93" s="4">
        <v>2500</v>
      </c>
      <c r="D93" s="4">
        <f t="shared" si="5"/>
        <v>1200</v>
      </c>
      <c r="E93" s="6">
        <f t="shared" si="6"/>
        <v>0.48</v>
      </c>
      <c r="F93" s="1">
        <v>0.48</v>
      </c>
      <c r="G93" s="1" t="str" cm="1">
        <f t="array" ref="G93">_xlfn.IFS(F93&lt;20%, "LOW_DISCOUNT", F93&lt;40%, "MEDIUM_DISCOUNT", F93&gt;=40%,"HIGH_DISCOUNT")</f>
        <v>HIGH_DISCOUNT</v>
      </c>
      <c r="I93" t="str">
        <f t="shared" si="7"/>
        <v/>
      </c>
      <c r="K93" t="str">
        <f t="shared" si="8"/>
        <v/>
      </c>
      <c r="L93" t="str" cm="1">
        <f t="array" ref="L93">_xlfn.IFS(K93="","",K93&lt;3,"POOR", K93&lt;4.5,"AVERAGE", K93&gt;=4.5,"EXCELLENT")</f>
        <v/>
      </c>
      <c r="M93" t="str">
        <f t="shared" si="9"/>
        <v/>
      </c>
    </row>
    <row r="94" spans="1:13" x14ac:dyDescent="0.35">
      <c r="A94" t="s">
        <v>115</v>
      </c>
      <c r="B94" s="4">
        <v>105</v>
      </c>
      <c r="C94" s="4">
        <v>200</v>
      </c>
      <c r="D94" s="4">
        <f t="shared" si="5"/>
        <v>95</v>
      </c>
      <c r="E94" s="6">
        <f t="shared" si="6"/>
        <v>0.47499999999999998</v>
      </c>
      <c r="F94" s="1">
        <v>0.48</v>
      </c>
      <c r="G94" s="1" t="str" cm="1">
        <f t="array" ref="G94">_xlfn.IFS(F94&lt;20%, "LOW_DISCOUNT", F94&lt;40%, "MEDIUM_DISCOUNT", F94&gt;=40%,"HIGH_DISCOUNT")</f>
        <v>HIGH_DISCOUNT</v>
      </c>
      <c r="I94" t="str">
        <f t="shared" si="7"/>
        <v/>
      </c>
      <c r="K94" t="str">
        <f t="shared" si="8"/>
        <v/>
      </c>
      <c r="L94" t="str" cm="1">
        <f t="array" ref="L94">_xlfn.IFS(K94="","",K94&lt;3,"POOR", K94&lt;4.5,"AVERAGE", K94&gt;=4.5,"EXCELLENT")</f>
        <v/>
      </c>
      <c r="M94" t="str">
        <f t="shared" si="9"/>
        <v/>
      </c>
    </row>
    <row r="95" spans="1:13" x14ac:dyDescent="0.35">
      <c r="A95" t="s">
        <v>116</v>
      </c>
      <c r="B95" s="4">
        <v>899</v>
      </c>
      <c r="C95" s="4">
        <v>1699</v>
      </c>
      <c r="D95" s="4">
        <f t="shared" si="5"/>
        <v>800</v>
      </c>
      <c r="E95" s="6">
        <f t="shared" si="6"/>
        <v>0.47086521483225424</v>
      </c>
      <c r="F95" s="1">
        <v>0.47</v>
      </c>
      <c r="G95" s="1" t="str" cm="1">
        <f t="array" ref="G95">_xlfn.IFS(F95&lt;20%, "LOW_DISCOUNT", F95&lt;40%, "MEDIUM_DISCOUNT", F95&gt;=40%,"HIGH_DISCOUNT")</f>
        <v>HIGH_DISCOUNT</v>
      </c>
      <c r="I95" t="str">
        <f t="shared" si="7"/>
        <v/>
      </c>
      <c r="K95" t="str">
        <f t="shared" si="8"/>
        <v/>
      </c>
      <c r="L95" t="str" cm="1">
        <f t="array" ref="L95">_xlfn.IFS(K95="","",K95&lt;3,"POOR", K95&lt;4.5,"AVERAGE", K95&gt;=4.5,"EXCELLENT")</f>
        <v/>
      </c>
      <c r="M95" t="str">
        <f t="shared" si="9"/>
        <v/>
      </c>
    </row>
    <row r="96" spans="1:13" x14ac:dyDescent="0.35">
      <c r="A96" t="s">
        <v>117</v>
      </c>
      <c r="B96" s="4">
        <v>1200</v>
      </c>
      <c r="C96" s="4">
        <v>2400</v>
      </c>
      <c r="D96" s="4">
        <f t="shared" si="5"/>
        <v>1200</v>
      </c>
      <c r="E96" s="6">
        <f t="shared" si="6"/>
        <v>0.5</v>
      </c>
      <c r="F96" s="1">
        <v>0.5</v>
      </c>
      <c r="G96" s="1" t="str" cm="1">
        <f t="array" ref="G96">_xlfn.IFS(F96&lt;20%, "LOW_DISCOUNT", F96&lt;40%, "MEDIUM_DISCOUNT", F96&gt;=40%,"HIGH_DISCOUNT")</f>
        <v>HIGH_DISCOUNT</v>
      </c>
      <c r="I96" t="str">
        <f t="shared" si="7"/>
        <v/>
      </c>
      <c r="K96" t="str">
        <f t="shared" si="8"/>
        <v/>
      </c>
      <c r="L96" t="str" cm="1">
        <f t="array" ref="L96">_xlfn.IFS(K96="","",K96&lt;3,"POOR", K96&lt;4.5,"AVERAGE", K96&gt;=4.5,"EXCELLENT")</f>
        <v/>
      </c>
      <c r="M96" t="str">
        <f t="shared" si="9"/>
        <v/>
      </c>
    </row>
    <row r="97" spans="1:13" x14ac:dyDescent="0.35">
      <c r="A97" t="s">
        <v>118</v>
      </c>
      <c r="B97" s="4">
        <v>1526</v>
      </c>
      <c r="C97" s="4">
        <v>1660</v>
      </c>
      <c r="D97" s="4">
        <f t="shared" si="5"/>
        <v>134</v>
      </c>
      <c r="E97" s="6">
        <f t="shared" si="6"/>
        <v>8.0722891566265054E-2</v>
      </c>
      <c r="F97" s="1">
        <v>0.08</v>
      </c>
      <c r="G97" s="1" t="str" cm="1">
        <f t="array" ref="G97">_xlfn.IFS(F97&lt;20%, "LOW_DISCOUNT", F97&lt;40%, "MEDIUM_DISCOUNT", F97&gt;=40%,"HIGH_DISCOUNT")</f>
        <v>LOW_DISCOUNT</v>
      </c>
      <c r="I97" t="str">
        <f t="shared" si="7"/>
        <v/>
      </c>
      <c r="K97" t="str">
        <f t="shared" si="8"/>
        <v/>
      </c>
      <c r="L97" t="str" cm="1">
        <f t="array" ref="L97">_xlfn.IFS(K97="","",K97&lt;3,"POOR", K97&lt;4.5,"AVERAGE", K97&gt;=4.5,"EXCELLENT")</f>
        <v/>
      </c>
      <c r="M97" t="str">
        <f t="shared" si="9"/>
        <v/>
      </c>
    </row>
    <row r="98" spans="1:13" x14ac:dyDescent="0.35">
      <c r="A98" t="s">
        <v>119</v>
      </c>
      <c r="B98" s="4">
        <v>1462</v>
      </c>
      <c r="C98" s="4">
        <v>1499</v>
      </c>
      <c r="D98" s="4">
        <f t="shared" si="5"/>
        <v>37</v>
      </c>
      <c r="E98" s="6">
        <f t="shared" si="6"/>
        <v>2.4683122081387593E-2</v>
      </c>
      <c r="F98" s="1">
        <v>0.02</v>
      </c>
      <c r="G98" s="1" t="str" cm="1">
        <f t="array" ref="G98">_xlfn.IFS(F98&lt;20%, "LOW_DISCOUNT", F98&lt;40%, "MEDIUM_DISCOUNT", F98&gt;=40%,"HIGH_DISCOUNT")</f>
        <v>LOW_DISCOUNT</v>
      </c>
      <c r="I98" t="str">
        <f t="shared" si="7"/>
        <v/>
      </c>
      <c r="K98" t="str">
        <f t="shared" si="8"/>
        <v/>
      </c>
      <c r="L98" t="str" cm="1">
        <f t="array" ref="L98">_xlfn.IFS(K98="","",K98&lt;3,"POOR", K98&lt;4.5,"AVERAGE", K98&gt;=4.5,"EXCELLENT")</f>
        <v/>
      </c>
      <c r="M98" t="str">
        <f t="shared" si="9"/>
        <v/>
      </c>
    </row>
    <row r="99" spans="1:13" x14ac:dyDescent="0.35">
      <c r="A99" t="s">
        <v>120</v>
      </c>
      <c r="B99" s="4">
        <v>248</v>
      </c>
      <c r="C99" s="4">
        <v>486</v>
      </c>
      <c r="D99" s="4">
        <f t="shared" si="5"/>
        <v>238</v>
      </c>
      <c r="E99" s="6">
        <f t="shared" si="6"/>
        <v>0.48971193415637859</v>
      </c>
      <c r="F99" s="1">
        <v>0.49</v>
      </c>
      <c r="G99" s="1" t="str" cm="1">
        <f t="array" ref="G99">_xlfn.IFS(F99&lt;20%, "LOW_DISCOUNT", F99&lt;40%, "MEDIUM_DISCOUNT", F99&gt;=40%,"HIGH_DISCOUNT")</f>
        <v>HIGH_DISCOUNT</v>
      </c>
      <c r="I99" t="str">
        <f t="shared" si="7"/>
        <v/>
      </c>
      <c r="K99" t="str">
        <f t="shared" si="8"/>
        <v/>
      </c>
      <c r="L99" t="str" cm="1">
        <f t="array" ref="L99">_xlfn.IFS(K99="","",K99&lt;3,"POOR", K99&lt;4.5,"AVERAGE", K99&gt;=4.5,"EXCELLENT")</f>
        <v/>
      </c>
      <c r="M99" t="str">
        <f t="shared" si="9"/>
        <v/>
      </c>
    </row>
    <row r="100" spans="1:13" x14ac:dyDescent="0.35">
      <c r="A100" t="s">
        <v>121</v>
      </c>
      <c r="B100" s="4">
        <v>3546</v>
      </c>
      <c r="C100" s="4">
        <v>3699</v>
      </c>
      <c r="D100" s="4">
        <f t="shared" si="5"/>
        <v>153</v>
      </c>
      <c r="E100" s="6">
        <f t="shared" si="6"/>
        <v>4.1362530413625302E-2</v>
      </c>
      <c r="F100" s="1">
        <v>0.04</v>
      </c>
      <c r="G100" s="1" t="str" cm="1">
        <f t="array" ref="G100">_xlfn.IFS(F100&lt;20%, "LOW_DISCOUNT", F100&lt;40%, "MEDIUM_DISCOUNT", F100&gt;=40%,"HIGH_DISCOUNT")</f>
        <v>LOW_DISCOUNT</v>
      </c>
      <c r="I100" t="str">
        <f t="shared" si="7"/>
        <v/>
      </c>
      <c r="K100" t="str">
        <f t="shared" si="8"/>
        <v/>
      </c>
      <c r="L100" t="str" cm="1">
        <f t="array" ref="L100">_xlfn.IFS(K100="","",K100&lt;3,"POOR", K100&lt;4.5,"AVERAGE", K100&gt;=4.5,"EXCELLENT")</f>
        <v/>
      </c>
      <c r="M100" t="str">
        <f t="shared" si="9"/>
        <v/>
      </c>
    </row>
    <row r="101" spans="1:13" x14ac:dyDescent="0.35">
      <c r="A101" t="s">
        <v>122</v>
      </c>
      <c r="B101" s="4">
        <v>525</v>
      </c>
      <c r="C101" s="4">
        <v>1029</v>
      </c>
      <c r="D101" s="4">
        <f t="shared" si="5"/>
        <v>504</v>
      </c>
      <c r="E101" s="6">
        <f t="shared" si="6"/>
        <v>0.48979591836734693</v>
      </c>
      <c r="F101" s="1">
        <v>0.49</v>
      </c>
      <c r="G101" s="1" t="str" cm="1">
        <f t="array" ref="G101">_xlfn.IFS(F101&lt;20%, "LOW_DISCOUNT", F101&lt;40%, "MEDIUM_DISCOUNT", F101&gt;=40%,"HIGH_DISCOUNT")</f>
        <v>HIGH_DISCOUNT</v>
      </c>
      <c r="I101" t="str">
        <f t="shared" si="7"/>
        <v/>
      </c>
      <c r="K101" t="str">
        <f t="shared" si="8"/>
        <v/>
      </c>
      <c r="L101" t="str" cm="1">
        <f t="array" ref="L101">_xlfn.IFS(K101="","",K101&lt;3,"POOR", K101&lt;4.5,"AVERAGE", K101&gt;=4.5,"EXCELLENT")</f>
        <v/>
      </c>
      <c r="M101" t="str">
        <f t="shared" si="9"/>
        <v/>
      </c>
    </row>
    <row r="102" spans="1:13" x14ac:dyDescent="0.35">
      <c r="A102" t="s">
        <v>123</v>
      </c>
      <c r="B102" s="4">
        <v>1080</v>
      </c>
      <c r="C102" s="4">
        <v>1874</v>
      </c>
      <c r="D102" s="4">
        <f t="shared" si="5"/>
        <v>794</v>
      </c>
      <c r="E102" s="6">
        <f t="shared" si="6"/>
        <v>0.42369263607257202</v>
      </c>
      <c r="F102" s="1">
        <v>0.42</v>
      </c>
      <c r="G102" s="1" t="str" cm="1">
        <f t="array" ref="G102">_xlfn.IFS(F102&lt;20%, "LOW_DISCOUNT", F102&lt;40%, "MEDIUM_DISCOUNT", F102&gt;=40%,"HIGH_DISCOUNT")</f>
        <v>HIGH_DISCOUNT</v>
      </c>
      <c r="I102" t="str">
        <f t="shared" si="7"/>
        <v/>
      </c>
      <c r="K102" t="str">
        <f t="shared" si="8"/>
        <v/>
      </c>
      <c r="L102" t="str" cm="1">
        <f t="array" ref="L102">_xlfn.IFS(K102="","",K102&lt;3,"POOR", K102&lt;4.5,"AVERAGE", K102&gt;=4.5,"EXCELLENT")</f>
        <v/>
      </c>
      <c r="M102" t="str">
        <f t="shared" si="9"/>
        <v/>
      </c>
    </row>
    <row r="103" spans="1:13" x14ac:dyDescent="0.35">
      <c r="A103" t="s">
        <v>124</v>
      </c>
      <c r="B103" s="4">
        <v>3640</v>
      </c>
      <c r="C103" s="4">
        <v>4588</v>
      </c>
      <c r="D103" s="4">
        <f t="shared" si="5"/>
        <v>948</v>
      </c>
      <c r="E103" s="6">
        <f t="shared" si="6"/>
        <v>0.20662598081952921</v>
      </c>
      <c r="F103" s="1">
        <v>0.21</v>
      </c>
      <c r="G103" s="1" t="str" cm="1">
        <f t="array" ref="G103">_xlfn.IFS(F103&lt;20%, "LOW_DISCOUNT", F103&lt;40%, "MEDIUM_DISCOUNT", F103&gt;=40%,"HIGH_DISCOUNT")</f>
        <v>MEDIUM_DISCOUNT</v>
      </c>
      <c r="H103">
        <v>-1</v>
      </c>
      <c r="I103">
        <f t="shared" si="7"/>
        <v>1</v>
      </c>
      <c r="J103" t="s">
        <v>29</v>
      </c>
      <c r="K103">
        <f t="shared" si="8"/>
        <v>5</v>
      </c>
      <c r="L103" t="str" cm="1">
        <f t="array" ref="L103">_xlfn.IFS(K103="","",K103&lt;3,"POOR", K103&lt;4.5,"AVERAGE", K103&gt;=4.5,"EXCELLENT")</f>
        <v>EXCELLENT</v>
      </c>
      <c r="M103">
        <f t="shared" si="9"/>
        <v>2.2025000000000001</v>
      </c>
    </row>
    <row r="104" spans="1:13" x14ac:dyDescent="0.35">
      <c r="A104" t="s">
        <v>125</v>
      </c>
      <c r="B104" s="4">
        <v>1420</v>
      </c>
      <c r="C104" s="4">
        <v>2420</v>
      </c>
      <c r="D104" s="4">
        <f t="shared" si="5"/>
        <v>1000</v>
      </c>
      <c r="E104" s="6">
        <f t="shared" si="6"/>
        <v>0.41322314049586778</v>
      </c>
      <c r="F104" s="1">
        <v>0.41</v>
      </c>
      <c r="G104" s="1" t="str" cm="1">
        <f t="array" ref="G104">_xlfn.IFS(F104&lt;20%, "LOW_DISCOUNT", F104&lt;40%, "MEDIUM_DISCOUNT", F104&gt;=40%,"HIGH_DISCOUNT")</f>
        <v>HIGH_DISCOUNT</v>
      </c>
      <c r="I104" t="str">
        <f t="shared" si="7"/>
        <v/>
      </c>
      <c r="K104" t="str">
        <f t="shared" si="8"/>
        <v/>
      </c>
      <c r="L104" t="str" cm="1">
        <f t="array" ref="L104">_xlfn.IFS(K104="","",K104&lt;3,"POOR", K104&lt;4.5,"AVERAGE", K104&gt;=4.5,"EXCELLENT")</f>
        <v/>
      </c>
      <c r="M104" t="str">
        <f t="shared" si="9"/>
        <v/>
      </c>
    </row>
    <row r="105" spans="1:13" x14ac:dyDescent="0.35">
      <c r="A105" t="s">
        <v>126</v>
      </c>
      <c r="B105" s="4">
        <v>1875</v>
      </c>
      <c r="C105" s="4">
        <v>1899</v>
      </c>
      <c r="D105" s="4">
        <f t="shared" si="5"/>
        <v>24</v>
      </c>
      <c r="E105" s="6">
        <f t="shared" si="6"/>
        <v>1.2638230647709321E-2</v>
      </c>
      <c r="F105" s="1">
        <v>0.01</v>
      </c>
      <c r="G105" s="1" t="str" cm="1">
        <f t="array" ref="G105">_xlfn.IFS(F105&lt;20%, "LOW_DISCOUNT", F105&lt;40%, "MEDIUM_DISCOUNT", F105&gt;=40%,"HIGH_DISCOUNT")</f>
        <v>LOW_DISCOUNT</v>
      </c>
      <c r="I105" t="str">
        <f t="shared" si="7"/>
        <v/>
      </c>
      <c r="K105" t="str">
        <f t="shared" si="8"/>
        <v/>
      </c>
      <c r="L105" t="str" cm="1">
        <f t="array" ref="L105">_xlfn.IFS(K105="","",K105&lt;3,"POOR", K105&lt;4.5,"AVERAGE", K105&gt;=4.5,"EXCELLENT")</f>
        <v/>
      </c>
      <c r="M105" t="str">
        <f t="shared" si="9"/>
        <v/>
      </c>
    </row>
    <row r="106" spans="1:13" x14ac:dyDescent="0.35">
      <c r="A106" t="s">
        <v>127</v>
      </c>
      <c r="B106" s="4">
        <v>198</v>
      </c>
      <c r="C106" s="4">
        <v>260</v>
      </c>
      <c r="D106" s="4">
        <f t="shared" si="5"/>
        <v>62</v>
      </c>
      <c r="E106" s="6">
        <f t="shared" si="6"/>
        <v>0.23846153846153847</v>
      </c>
      <c r="F106" s="1">
        <v>0.24</v>
      </c>
      <c r="G106" s="1" t="str" cm="1">
        <f t="array" ref="G106">_xlfn.IFS(F106&lt;20%, "LOW_DISCOUNT", F106&lt;40%, "MEDIUM_DISCOUNT", F106&gt;=40%,"HIGH_DISCOUNT")</f>
        <v>MEDIUM_DISCOUNT</v>
      </c>
      <c r="I106" t="str">
        <f t="shared" si="7"/>
        <v/>
      </c>
      <c r="K106" t="str">
        <f t="shared" si="8"/>
        <v/>
      </c>
      <c r="L106" t="str" cm="1">
        <f t="array" ref="L106">_xlfn.IFS(K106="","",K106&lt;3,"POOR", K106&lt;4.5,"AVERAGE", K106&gt;=4.5,"EXCELLENT")</f>
        <v/>
      </c>
      <c r="M106" t="str">
        <f t="shared" si="9"/>
        <v/>
      </c>
    </row>
    <row r="107" spans="1:13" x14ac:dyDescent="0.35">
      <c r="A107" t="s">
        <v>128</v>
      </c>
      <c r="B107" s="4">
        <v>1150</v>
      </c>
      <c r="C107" s="4">
        <v>1737</v>
      </c>
      <c r="D107" s="4">
        <f t="shared" si="5"/>
        <v>587</v>
      </c>
      <c r="E107" s="6">
        <f t="shared" si="6"/>
        <v>0.3379389752446747</v>
      </c>
      <c r="F107" s="1">
        <v>0.34</v>
      </c>
      <c r="G107" s="1" t="str" cm="1">
        <f t="array" ref="G107">_xlfn.IFS(F107&lt;20%, "LOW_DISCOUNT", F107&lt;40%, "MEDIUM_DISCOUNT", F107&gt;=40%,"HIGH_DISCOUNT")</f>
        <v>MEDIUM_DISCOUNT</v>
      </c>
      <c r="I107" t="str">
        <f t="shared" si="7"/>
        <v/>
      </c>
      <c r="K107" t="str">
        <f t="shared" si="8"/>
        <v/>
      </c>
      <c r="L107" t="str" cm="1">
        <f t="array" ref="L107">_xlfn.IFS(K107="","",K107&lt;3,"POOR", K107&lt;4.5,"AVERAGE", K107&gt;=4.5,"EXCELLENT")</f>
        <v/>
      </c>
      <c r="M107" t="str">
        <f t="shared" si="9"/>
        <v/>
      </c>
    </row>
    <row r="108" spans="1:13" x14ac:dyDescent="0.35">
      <c r="A108" t="s">
        <v>129</v>
      </c>
      <c r="B108" s="4">
        <v>1190</v>
      </c>
      <c r="C108" s="4">
        <v>1810</v>
      </c>
      <c r="D108" s="4">
        <f t="shared" si="5"/>
        <v>620</v>
      </c>
      <c r="E108" s="6">
        <f t="shared" si="6"/>
        <v>0.34254143646408841</v>
      </c>
      <c r="F108" s="1">
        <v>0.34</v>
      </c>
      <c r="G108" s="1" t="str" cm="1">
        <f t="array" ref="G108">_xlfn.IFS(F108&lt;20%, "LOW_DISCOUNT", F108&lt;40%, "MEDIUM_DISCOUNT", F108&gt;=40%,"HIGH_DISCOUNT")</f>
        <v>MEDIUM_DISCOUNT</v>
      </c>
      <c r="I108" t="str">
        <f t="shared" si="7"/>
        <v/>
      </c>
      <c r="K108" t="str">
        <f t="shared" si="8"/>
        <v/>
      </c>
      <c r="L108" t="str" cm="1">
        <f t="array" ref="L108">_xlfn.IFS(K108="","",K108&lt;3,"POOR", K108&lt;4.5,"AVERAGE", K108&gt;=4.5,"EXCELLENT")</f>
        <v/>
      </c>
      <c r="M108" t="str">
        <f t="shared" si="9"/>
        <v/>
      </c>
    </row>
    <row r="109" spans="1:13" x14ac:dyDescent="0.35">
      <c r="A109" t="s">
        <v>130</v>
      </c>
      <c r="B109" s="4">
        <v>1658</v>
      </c>
      <c r="C109" s="4">
        <v>1699</v>
      </c>
      <c r="D109" s="4">
        <f t="shared" si="5"/>
        <v>41</v>
      </c>
      <c r="E109" s="6">
        <f t="shared" si="6"/>
        <v>2.4131842260153032E-2</v>
      </c>
      <c r="F109" s="1">
        <v>0.02</v>
      </c>
      <c r="G109" s="1" t="str" cm="1">
        <f t="array" ref="G109">_xlfn.IFS(F109&lt;20%, "LOW_DISCOUNT", F109&lt;40%, "MEDIUM_DISCOUNT", F109&gt;=40%,"HIGH_DISCOUNT")</f>
        <v>LOW_DISCOUNT</v>
      </c>
      <c r="I109" t="str">
        <f t="shared" si="7"/>
        <v/>
      </c>
      <c r="K109" t="str">
        <f t="shared" si="8"/>
        <v/>
      </c>
      <c r="L109" t="str" cm="1">
        <f t="array" ref="L109">_xlfn.IFS(K109="","",K109&lt;3,"POOR", K109&lt;4.5,"AVERAGE", K109&gt;=4.5,"EXCELLENT")</f>
        <v/>
      </c>
      <c r="M109" t="str">
        <f t="shared" si="9"/>
        <v/>
      </c>
    </row>
    <row r="110" spans="1:13" x14ac:dyDescent="0.35">
      <c r="A110" t="s">
        <v>131</v>
      </c>
      <c r="B110" s="4">
        <v>1768</v>
      </c>
      <c r="C110" s="4">
        <v>1799</v>
      </c>
      <c r="D110" s="4">
        <f t="shared" si="5"/>
        <v>31</v>
      </c>
      <c r="E110" s="6">
        <f t="shared" si="6"/>
        <v>1.7231795441912175E-2</v>
      </c>
      <c r="F110" s="1">
        <v>0.02</v>
      </c>
      <c r="G110" s="1" t="str" cm="1">
        <f t="array" ref="G110">_xlfn.IFS(F110&lt;20%, "LOW_DISCOUNT", F110&lt;40%, "MEDIUM_DISCOUNT", F110&gt;=40%,"HIGH_DISCOUNT")</f>
        <v>LOW_DISCOUNT</v>
      </c>
      <c r="I110" t="str">
        <f t="shared" si="7"/>
        <v/>
      </c>
      <c r="K110" t="str">
        <f t="shared" si="8"/>
        <v/>
      </c>
      <c r="L110" t="str" cm="1">
        <f t="array" ref="L110">_xlfn.IFS(K110="","",K110&lt;3,"POOR", K110&lt;4.5,"AVERAGE", K110&gt;=4.5,"EXCELLENT")</f>
        <v/>
      </c>
      <c r="M110" t="str">
        <f t="shared" si="9"/>
        <v/>
      </c>
    </row>
    <row r="111" spans="1:13" x14ac:dyDescent="0.35">
      <c r="A111" t="s">
        <v>132</v>
      </c>
      <c r="B111" s="4">
        <v>199</v>
      </c>
      <c r="C111" s="4">
        <v>553</v>
      </c>
      <c r="D111" s="4">
        <f t="shared" si="5"/>
        <v>354</v>
      </c>
      <c r="E111" s="6">
        <f t="shared" si="6"/>
        <v>0.64014466546112114</v>
      </c>
      <c r="F111" s="1">
        <v>0.64</v>
      </c>
      <c r="G111" s="1" t="str" cm="1">
        <f t="array" ref="G111">_xlfn.IFS(F111&lt;20%, "LOW_DISCOUNT", F111&lt;40%, "MEDIUM_DISCOUNT", F111&gt;=40%,"HIGH_DISCOUNT")</f>
        <v>HIGH_DISCOUNT</v>
      </c>
      <c r="I111" t="str">
        <f t="shared" si="7"/>
        <v/>
      </c>
      <c r="K111" t="str">
        <f t="shared" si="8"/>
        <v/>
      </c>
      <c r="L111" t="str" cm="1">
        <f t="array" ref="L111">_xlfn.IFS(K111="","",K111&lt;3,"POOR", K111&lt;4.5,"AVERAGE", K111&gt;=4.5,"EXCELLENT")</f>
        <v/>
      </c>
      <c r="M111" t="str">
        <f t="shared" si="9"/>
        <v/>
      </c>
    </row>
    <row r="112" spans="1:13" x14ac:dyDescent="0.35">
      <c r="A112" t="s">
        <v>133</v>
      </c>
      <c r="B112" s="4">
        <v>450</v>
      </c>
      <c r="C112" s="4">
        <v>900</v>
      </c>
      <c r="D112" s="4">
        <f t="shared" si="5"/>
        <v>450</v>
      </c>
      <c r="E112" s="6">
        <f t="shared" si="6"/>
        <v>0.5</v>
      </c>
      <c r="F112" s="1">
        <v>0.5</v>
      </c>
      <c r="G112" s="1" t="str" cm="1">
        <f t="array" ref="G112">_xlfn.IFS(F112&lt;20%, "LOW_DISCOUNT", F112&lt;40%, "MEDIUM_DISCOUNT", F112&gt;=40%,"HIGH_DISCOUNT")</f>
        <v>HIGH_DISCOUNT</v>
      </c>
      <c r="H112">
        <v>-1</v>
      </c>
      <c r="I112">
        <f t="shared" si="7"/>
        <v>1</v>
      </c>
      <c r="J112" t="s">
        <v>134</v>
      </c>
      <c r="K112">
        <f t="shared" si="8"/>
        <v>2</v>
      </c>
      <c r="L112" t="str" cm="1">
        <f t="array" ref="L112">_xlfn.IFS(K112="","",K112&lt;3,"POOR", K112&lt;4.5,"AVERAGE", K112&gt;=4.5,"EXCELLENT")</f>
        <v>POOR</v>
      </c>
      <c r="M112">
        <f t="shared" si="9"/>
        <v>1.2250000000000001</v>
      </c>
    </row>
    <row r="113" spans="1:18" x14ac:dyDescent="0.35">
      <c r="A113" t="s">
        <v>135</v>
      </c>
      <c r="B113" s="4">
        <v>169</v>
      </c>
      <c r="C113" s="4">
        <v>320</v>
      </c>
      <c r="D113" s="4">
        <f t="shared" si="5"/>
        <v>151</v>
      </c>
      <c r="E113" s="6">
        <f t="shared" si="6"/>
        <v>0.47187499999999999</v>
      </c>
      <c r="F113" s="1">
        <v>0.47</v>
      </c>
      <c r="G113" s="1" t="str" cm="1">
        <f t="array" ref="G113">_xlfn.IFS(F113&lt;20%, "LOW_DISCOUNT", F113&lt;40%, "MEDIUM_DISCOUNT", F113&gt;=40%,"HIGH_DISCOUNT")</f>
        <v>HIGH_DISCOUNT</v>
      </c>
      <c r="I113" t="str">
        <f t="shared" si="7"/>
        <v/>
      </c>
      <c r="K113" t="str">
        <f t="shared" si="8"/>
        <v/>
      </c>
      <c r="L113" t="str" cm="1">
        <f t="array" ref="L113">_xlfn.IFS(K113="","",K113&lt;3,"POOR", K113&lt;4.5,"AVERAGE", K113&gt;=4.5,"EXCELLENT")</f>
        <v/>
      </c>
      <c r="M113" t="str">
        <f t="shared" si="9"/>
        <v/>
      </c>
    </row>
    <row r="114" spans="1:18" x14ac:dyDescent="0.35">
      <c r="M114" t="str">
        <f t="shared" si="9"/>
        <v/>
      </c>
    </row>
    <row r="115" spans="1:18" x14ac:dyDescent="0.35">
      <c r="M115" t="str">
        <f t="shared" si="9"/>
        <v/>
      </c>
    </row>
    <row r="116" spans="1:18" x14ac:dyDescent="0.35">
      <c r="M116" t="str">
        <f t="shared" si="9"/>
        <v/>
      </c>
    </row>
    <row r="117" spans="1:18" ht="15" thickBot="1" x14ac:dyDescent="0.4">
      <c r="M117" t="str">
        <f t="shared" si="9"/>
        <v/>
      </c>
    </row>
    <row r="118" spans="1:18" x14ac:dyDescent="0.35">
      <c r="G118" s="8"/>
      <c r="H118" s="9"/>
      <c r="I118" s="9"/>
      <c r="J118" s="9"/>
      <c r="K118" s="9"/>
      <c r="L118" s="9"/>
      <c r="M118" t="str">
        <f t="shared" si="9"/>
        <v/>
      </c>
      <c r="N118" s="9"/>
      <c r="O118" s="9"/>
      <c r="P118" s="9"/>
      <c r="Q118" s="9"/>
      <c r="R118" s="10"/>
    </row>
    <row r="119" spans="1:18" x14ac:dyDescent="0.35">
      <c r="G119" s="11"/>
      <c r="M119" t="str">
        <f t="shared" si="9"/>
        <v/>
      </c>
      <c r="R119" s="12"/>
    </row>
    <row r="120" spans="1:18" x14ac:dyDescent="0.35">
      <c r="A120" t="s">
        <v>143</v>
      </c>
      <c r="B120" s="4">
        <f>AVERAGE(B2:B113)</f>
        <v>1186.8928571428571</v>
      </c>
      <c r="G120" s="11"/>
      <c r="M120" t="str">
        <f t="shared" si="9"/>
        <v/>
      </c>
      <c r="R120" s="12"/>
    </row>
    <row r="121" spans="1:18" x14ac:dyDescent="0.35">
      <c r="A121" t="s">
        <v>144</v>
      </c>
      <c r="B121" s="4">
        <f>AVERAGE(C2:C113)</f>
        <v>1811.1071428571429</v>
      </c>
      <c r="G121" s="11"/>
      <c r="M121" t="str">
        <f t="shared" si="9"/>
        <v/>
      </c>
      <c r="R121" s="12"/>
    </row>
    <row r="122" spans="1:18" x14ac:dyDescent="0.35">
      <c r="A122" t="s">
        <v>145</v>
      </c>
      <c r="B122" s="6">
        <f>AVERAGE(E2:E113)</f>
        <v>0.36714123251752773</v>
      </c>
      <c r="G122" s="11"/>
      <c r="M122" t="str">
        <f t="shared" si="9"/>
        <v/>
      </c>
      <c r="R122" s="12"/>
    </row>
    <row r="123" spans="1:18" ht="15" thickBot="1" x14ac:dyDescent="0.4">
      <c r="A123" t="s">
        <v>146</v>
      </c>
      <c r="B123" s="4">
        <f>AVERAGE(K2:K113)</f>
        <v>3.8894736842105258</v>
      </c>
      <c r="G123" s="13"/>
      <c r="H123" s="14"/>
      <c r="I123" s="14"/>
      <c r="J123" s="14"/>
      <c r="K123" s="14"/>
      <c r="L123" s="14"/>
      <c r="M123" t="str">
        <f t="shared" si="9"/>
        <v/>
      </c>
      <c r="N123" s="14"/>
      <c r="O123" s="14"/>
      <c r="P123" s="14"/>
      <c r="Q123" s="14"/>
      <c r="R123" s="15"/>
    </row>
    <row r="124" spans="1:18" ht="15" thickBot="1" x14ac:dyDescent="0.4">
      <c r="A124" t="s">
        <v>147</v>
      </c>
      <c r="B124" s="4">
        <f>AVERAGE(D2:D113)</f>
        <v>624.21428571428567</v>
      </c>
      <c r="M124" t="str">
        <f t="shared" si="9"/>
        <v/>
      </c>
    </row>
    <row r="125" spans="1:18" x14ac:dyDescent="0.35">
      <c r="A125" t="s">
        <v>148</v>
      </c>
      <c r="B125" s="4">
        <f>AVERAGE(I2:I113)</f>
        <v>12.684210526315789</v>
      </c>
      <c r="G125" s="8"/>
      <c r="H125" s="9"/>
      <c r="I125" s="9"/>
      <c r="J125" s="9"/>
      <c r="K125" s="9"/>
      <c r="L125" s="9"/>
      <c r="M125" t="str">
        <f t="shared" si="9"/>
        <v/>
      </c>
      <c r="N125" s="9"/>
      <c r="O125" s="9"/>
      <c r="P125" s="9"/>
      <c r="Q125" s="9"/>
      <c r="R125" s="10"/>
    </row>
    <row r="126" spans="1:18" x14ac:dyDescent="0.35">
      <c r="A126" t="s">
        <v>149</v>
      </c>
      <c r="B126" s="4">
        <f>MAX(B2:B113)</f>
        <v>3750</v>
      </c>
      <c r="G126" s="11"/>
      <c r="M126" t="str">
        <f t="shared" si="9"/>
        <v/>
      </c>
      <c r="R126" s="12"/>
    </row>
    <row r="127" spans="1:18" x14ac:dyDescent="0.35">
      <c r="A127" t="s">
        <v>150</v>
      </c>
      <c r="B127" s="4" t="str">
        <f>_xlfn.XLOOKUP(B126, B2:B113, A2:A113, "NOT FOUND",0)</f>
        <v>32PCS Portable Cordless Drill Set With Cyclic Battery Drive -26 Variable Speed</v>
      </c>
      <c r="G127" s="11"/>
      <c r="M127" t="str">
        <f t="shared" si="9"/>
        <v/>
      </c>
      <c r="R127" s="12"/>
    </row>
    <row r="128" spans="1:18" x14ac:dyDescent="0.35">
      <c r="A128" t="s">
        <v>151</v>
      </c>
      <c r="B128" s="4">
        <f>MIN(B2:B113)</f>
        <v>38</v>
      </c>
      <c r="G128" s="11"/>
      <c r="M128" t="str">
        <f t="shared" si="9"/>
        <v/>
      </c>
      <c r="R128" s="12"/>
    </row>
    <row r="129" spans="1:18" x14ac:dyDescent="0.35">
      <c r="A129" t="s">
        <v>152</v>
      </c>
      <c r="B129" s="4" t="str">
        <f>_xlfn.XLOOKUP(B128, B2:B113, A2:A113, "NOT FOUND",0)</f>
        <v>3PCS Single Head Knitting Crochet Sweater Needle Set</v>
      </c>
      <c r="G129" s="11"/>
      <c r="M129" t="str">
        <f t="shared" si="9"/>
        <v/>
      </c>
      <c r="R129" s="12"/>
    </row>
    <row r="130" spans="1:18" ht="15" thickBot="1" x14ac:dyDescent="0.4">
      <c r="A130" t="s">
        <v>174</v>
      </c>
      <c r="B130" s="4">
        <f>COUNTA(A1:A113)</f>
        <v>110</v>
      </c>
      <c r="G130" s="13"/>
      <c r="H130" s="14"/>
      <c r="I130" s="14"/>
      <c r="J130" s="14"/>
      <c r="K130" s="14"/>
      <c r="L130" s="14"/>
      <c r="M130" t="str">
        <f t="shared" si="9"/>
        <v/>
      </c>
      <c r="N130" s="14"/>
      <c r="O130" s="14"/>
      <c r="P130" s="14"/>
      <c r="Q130" s="14"/>
      <c r="R130" s="15"/>
    </row>
    <row r="131" spans="1:18" ht="15" thickBot="1" x14ac:dyDescent="0.4">
      <c r="A131" t="s">
        <v>175</v>
      </c>
      <c r="B131" s="4">
        <f>COUNTA(H1:H113)</f>
        <v>58</v>
      </c>
      <c r="M131" t="str">
        <f t="shared" ref="M131:M154" si="10">IF(K131="","",($K131*$P$42)+($I131*$P$43)+($F131*$P$44))</f>
        <v/>
      </c>
    </row>
    <row r="132" spans="1:18" x14ac:dyDescent="0.35">
      <c r="G132" s="8"/>
      <c r="H132" s="9"/>
      <c r="I132" s="9"/>
      <c r="J132" s="9"/>
      <c r="K132" s="9"/>
      <c r="L132" s="9"/>
      <c r="M132" t="str">
        <f t="shared" si="10"/>
        <v/>
      </c>
      <c r="N132" s="9"/>
      <c r="O132" s="9"/>
      <c r="P132" s="9"/>
      <c r="Q132" s="9"/>
      <c r="R132" s="10"/>
    </row>
    <row r="133" spans="1:18" x14ac:dyDescent="0.35">
      <c r="G133" s="11"/>
      <c r="M133" t="str">
        <f t="shared" si="10"/>
        <v/>
      </c>
      <c r="R133" s="12"/>
    </row>
    <row r="134" spans="1:18" x14ac:dyDescent="0.35">
      <c r="G134" s="11"/>
      <c r="M134" t="str">
        <f t="shared" si="10"/>
        <v/>
      </c>
      <c r="R134" s="12"/>
    </row>
    <row r="135" spans="1:18" x14ac:dyDescent="0.35">
      <c r="G135" s="11"/>
      <c r="M135" t="str">
        <f t="shared" si="10"/>
        <v/>
      </c>
      <c r="R135" s="12"/>
    </row>
    <row r="136" spans="1:18" x14ac:dyDescent="0.35">
      <c r="G136" s="11"/>
      <c r="M136" t="str">
        <f t="shared" si="10"/>
        <v/>
      </c>
      <c r="R136" s="12"/>
    </row>
    <row r="137" spans="1:18" x14ac:dyDescent="0.35">
      <c r="G137" s="11"/>
      <c r="M137" t="str">
        <f t="shared" si="10"/>
        <v/>
      </c>
      <c r="R137" s="12"/>
    </row>
    <row r="138" spans="1:18" x14ac:dyDescent="0.35">
      <c r="G138" s="11"/>
      <c r="M138" t="str">
        <f t="shared" si="10"/>
        <v/>
      </c>
      <c r="R138" s="12"/>
    </row>
    <row r="139" spans="1:18" x14ac:dyDescent="0.35">
      <c r="G139" s="11"/>
      <c r="M139" t="str">
        <f t="shared" si="10"/>
        <v/>
      </c>
      <c r="R139" s="12"/>
    </row>
    <row r="140" spans="1:18" x14ac:dyDescent="0.35">
      <c r="G140" s="11"/>
      <c r="M140" t="str">
        <f t="shared" si="10"/>
        <v/>
      </c>
      <c r="R140" s="12"/>
    </row>
    <row r="141" spans="1:18" x14ac:dyDescent="0.35">
      <c r="G141" s="11"/>
      <c r="M141" t="str">
        <f t="shared" si="10"/>
        <v/>
      </c>
      <c r="R141" s="12"/>
    </row>
    <row r="142" spans="1:18" ht="15" thickBot="1" x14ac:dyDescent="0.4">
      <c r="G142" s="13"/>
      <c r="H142" s="14"/>
      <c r="I142" s="14"/>
      <c r="J142" s="14"/>
      <c r="K142" s="14"/>
      <c r="L142" s="14"/>
      <c r="M142" t="str">
        <f t="shared" si="10"/>
        <v/>
      </c>
      <c r="N142" s="14"/>
      <c r="O142" s="14"/>
      <c r="P142" s="14"/>
      <c r="Q142" s="14"/>
      <c r="R142" s="15"/>
    </row>
    <row r="143" spans="1:18" ht="15" thickBot="1" x14ac:dyDescent="0.4">
      <c r="M143" t="str">
        <f t="shared" si="10"/>
        <v/>
      </c>
    </row>
    <row r="144" spans="1:18" x14ac:dyDescent="0.35">
      <c r="G144" s="8"/>
      <c r="H144" s="9"/>
      <c r="I144" s="9"/>
      <c r="J144" s="9"/>
      <c r="K144" s="9"/>
      <c r="L144" s="9"/>
      <c r="M144" t="str">
        <f t="shared" si="10"/>
        <v/>
      </c>
      <c r="N144" s="9"/>
      <c r="O144" s="9"/>
      <c r="P144" s="9"/>
      <c r="Q144" s="9"/>
      <c r="R144" s="10"/>
    </row>
    <row r="145" spans="7:18" x14ac:dyDescent="0.35">
      <c r="G145" s="11"/>
      <c r="M145" t="str">
        <f t="shared" si="10"/>
        <v/>
      </c>
      <c r="R145" s="12"/>
    </row>
    <row r="146" spans="7:18" x14ac:dyDescent="0.35">
      <c r="G146" s="11"/>
      <c r="M146" t="str">
        <f t="shared" si="10"/>
        <v/>
      </c>
      <c r="R146" s="12"/>
    </row>
    <row r="147" spans="7:18" x14ac:dyDescent="0.35">
      <c r="G147" s="11"/>
      <c r="M147" t="str">
        <f t="shared" si="10"/>
        <v/>
      </c>
      <c r="R147" s="12"/>
    </row>
    <row r="148" spans="7:18" x14ac:dyDescent="0.35">
      <c r="G148" s="11"/>
      <c r="M148" t="str">
        <f t="shared" si="10"/>
        <v/>
      </c>
      <c r="R148" s="12"/>
    </row>
    <row r="149" spans="7:18" x14ac:dyDescent="0.35">
      <c r="G149" s="11"/>
      <c r="M149" t="str">
        <f t="shared" si="10"/>
        <v/>
      </c>
      <c r="R149" s="12"/>
    </row>
    <row r="150" spans="7:18" x14ac:dyDescent="0.35">
      <c r="G150" s="11"/>
      <c r="M150" t="str">
        <f t="shared" si="10"/>
        <v/>
      </c>
      <c r="R150" s="12"/>
    </row>
    <row r="151" spans="7:18" x14ac:dyDescent="0.35">
      <c r="G151" s="11"/>
      <c r="M151" t="str">
        <f t="shared" si="10"/>
        <v/>
      </c>
      <c r="R151" s="12"/>
    </row>
    <row r="152" spans="7:18" x14ac:dyDescent="0.35">
      <c r="G152" s="11"/>
      <c r="M152" t="str">
        <f t="shared" si="10"/>
        <v/>
      </c>
      <c r="R152" s="12"/>
    </row>
    <row r="153" spans="7:18" x14ac:dyDescent="0.35">
      <c r="G153" s="11"/>
      <c r="M153" t="str">
        <f t="shared" si="10"/>
        <v/>
      </c>
      <c r="R153" s="12"/>
    </row>
    <row r="154" spans="7:18" ht="15" thickBot="1" x14ac:dyDescent="0.4">
      <c r="G154" s="13"/>
      <c r="H154" s="14"/>
      <c r="I154" s="14"/>
      <c r="J154" s="14"/>
      <c r="K154" s="14"/>
      <c r="L154" s="14"/>
      <c r="M154" t="str">
        <f t="shared" si="10"/>
        <v/>
      </c>
      <c r="N154" s="14"/>
      <c r="O154" s="14"/>
      <c r="P154" s="14"/>
      <c r="Q154" s="14"/>
      <c r="R154" s="15"/>
    </row>
  </sheetData>
  <autoFilter ref="J1:J231" xr:uid="{0594B1E8-335B-46E7-9A56-C8480CDEF083}"/>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02AC1-A306-419E-B347-FA4744CB75D6}">
  <dimension ref="A2:M70"/>
  <sheetViews>
    <sheetView topLeftCell="A37" zoomScale="69" zoomScaleNormal="69" workbookViewId="0">
      <selection activeCell="L55" sqref="L55"/>
    </sheetView>
  </sheetViews>
  <sheetFormatPr defaultRowHeight="14.5" x14ac:dyDescent="0.35"/>
  <cols>
    <col min="1" max="1" width="17.54296875" bestFit="1" customWidth="1"/>
    <col min="2" max="2" width="14.81640625" bestFit="1" customWidth="1"/>
    <col min="3" max="3" width="12.08984375" bestFit="1" customWidth="1"/>
    <col min="4" max="4" width="17.453125" bestFit="1" customWidth="1"/>
    <col min="5" max="5" width="63.1796875" bestFit="1" customWidth="1"/>
    <col min="6" max="6" width="7.90625" bestFit="1" customWidth="1"/>
    <col min="7" max="8" width="6.81640625" bestFit="1" customWidth="1"/>
    <col min="9" max="9" width="4.81640625" bestFit="1" customWidth="1"/>
    <col min="10" max="10" width="5.81640625" bestFit="1" customWidth="1"/>
    <col min="11" max="11" width="6.81640625" bestFit="1" customWidth="1"/>
    <col min="12" max="12" width="13.54296875" bestFit="1" customWidth="1"/>
    <col min="13" max="13" width="15.08984375" bestFit="1" customWidth="1"/>
    <col min="14" max="14" width="17.6328125" bestFit="1" customWidth="1"/>
    <col min="15" max="23" width="6.81640625" bestFit="1" customWidth="1"/>
    <col min="24" max="24" width="4.81640625" bestFit="1" customWidth="1"/>
    <col min="25" max="25" width="5.81640625" bestFit="1" customWidth="1"/>
    <col min="26" max="27" width="6.81640625" bestFit="1" customWidth="1"/>
    <col min="28" max="29" width="4.81640625" bestFit="1" customWidth="1"/>
    <col min="30" max="31" width="6.81640625" bestFit="1" customWidth="1"/>
    <col min="32" max="34" width="5.81640625" bestFit="1" customWidth="1"/>
    <col min="35" max="35" width="6.81640625" bestFit="1" customWidth="1"/>
    <col min="36" max="37" width="5.81640625" bestFit="1" customWidth="1"/>
    <col min="38" max="38" width="6.81640625" bestFit="1" customWidth="1"/>
    <col min="39" max="39" width="4.81640625" bestFit="1" customWidth="1"/>
    <col min="40" max="40" width="6.81640625" bestFit="1" customWidth="1"/>
    <col min="41" max="41" width="4.81640625" bestFit="1" customWidth="1"/>
    <col min="42" max="42" width="5.81640625" bestFit="1" customWidth="1"/>
    <col min="43" max="45" width="6.81640625" bestFit="1" customWidth="1"/>
    <col min="46" max="46" width="4.81640625" bestFit="1" customWidth="1"/>
    <col min="47" max="47" width="6.81640625" bestFit="1" customWidth="1"/>
    <col min="48" max="48" width="4.81640625" bestFit="1" customWidth="1"/>
    <col min="49" max="49" width="6.81640625" bestFit="1" customWidth="1"/>
    <col min="50" max="52" width="7.81640625" bestFit="1" customWidth="1"/>
    <col min="53" max="53" width="5.81640625" bestFit="1" customWidth="1"/>
    <col min="54" max="55" width="7.81640625" bestFit="1" customWidth="1"/>
    <col min="56" max="56" width="5.81640625" bestFit="1" customWidth="1"/>
    <col min="57" max="57" width="7.81640625" bestFit="1" customWidth="1"/>
    <col min="58" max="58" width="5.81640625" bestFit="1" customWidth="1"/>
    <col min="59" max="59" width="6.81640625" bestFit="1" customWidth="1"/>
    <col min="60" max="60" width="10.36328125" bestFit="1" customWidth="1"/>
    <col min="61" max="61" width="10.81640625" bestFit="1" customWidth="1"/>
    <col min="62" max="72" width="11.81640625" bestFit="1" customWidth="1"/>
    <col min="73" max="73" width="8.81640625" bestFit="1" customWidth="1"/>
    <col min="74" max="75" width="11.81640625" bestFit="1" customWidth="1"/>
    <col min="76" max="76" width="5.81640625" bestFit="1" customWidth="1"/>
    <col min="77" max="78" width="11.81640625" bestFit="1" customWidth="1"/>
    <col min="79" max="79" width="4.81640625" bestFit="1" customWidth="1"/>
    <col min="80" max="92" width="11.81640625" bestFit="1" customWidth="1"/>
    <col min="93" max="93" width="3.81640625" bestFit="1" customWidth="1"/>
    <col min="94" max="94" width="6.81640625" bestFit="1" customWidth="1"/>
    <col min="95" max="98" width="11.81640625" bestFit="1" customWidth="1"/>
    <col min="99" max="99" width="5.81640625" bestFit="1" customWidth="1"/>
    <col min="100" max="101" width="11.81640625" bestFit="1" customWidth="1"/>
    <col min="102" max="102" width="5.81640625" bestFit="1" customWidth="1"/>
    <col min="103" max="103" width="4.81640625" bestFit="1" customWidth="1"/>
    <col min="104" max="104" width="9.81640625" bestFit="1" customWidth="1"/>
    <col min="105" max="105" width="10.81640625" bestFit="1" customWidth="1"/>
    <col min="106" max="106" width="11.81640625" bestFit="1" customWidth="1"/>
    <col min="107" max="107" width="6.81640625" bestFit="1" customWidth="1"/>
    <col min="108" max="108" width="10.36328125" bestFit="1" customWidth="1"/>
  </cols>
  <sheetData>
    <row r="2" spans="1:6" x14ac:dyDescent="0.35">
      <c r="A2" s="7" t="s">
        <v>156</v>
      </c>
      <c r="E2" s="7" t="s">
        <v>160</v>
      </c>
    </row>
    <row r="3" spans="1:6" x14ac:dyDescent="0.35">
      <c r="A3" s="16" t="s">
        <v>153</v>
      </c>
      <c r="B3" t="s">
        <v>155</v>
      </c>
      <c r="E3" s="16" t="s">
        <v>153</v>
      </c>
      <c r="F3" t="s">
        <v>159</v>
      </c>
    </row>
    <row r="4" spans="1:6" x14ac:dyDescent="0.35">
      <c r="A4" s="17" t="s">
        <v>24</v>
      </c>
      <c r="B4">
        <v>4.8</v>
      </c>
      <c r="E4" s="17" t="s">
        <v>89</v>
      </c>
      <c r="F4" s="18">
        <v>2.2999999999999998</v>
      </c>
    </row>
    <row r="5" spans="1:6" x14ac:dyDescent="0.35">
      <c r="A5" s="17" t="s">
        <v>28</v>
      </c>
      <c r="B5">
        <v>5</v>
      </c>
      <c r="E5" s="17" t="s">
        <v>75</v>
      </c>
      <c r="F5" s="18">
        <v>2.5</v>
      </c>
    </row>
    <row r="6" spans="1:6" x14ac:dyDescent="0.35">
      <c r="A6" s="17" t="s">
        <v>104</v>
      </c>
      <c r="B6">
        <v>5</v>
      </c>
      <c r="E6" s="17" t="s">
        <v>79</v>
      </c>
      <c r="F6" s="18">
        <v>2.1</v>
      </c>
    </row>
    <row r="7" spans="1:6" x14ac:dyDescent="0.35">
      <c r="A7" s="17" t="s">
        <v>53</v>
      </c>
      <c r="B7">
        <v>5</v>
      </c>
      <c r="E7" s="17" t="s">
        <v>97</v>
      </c>
      <c r="F7" s="18">
        <v>2.2000000000000002</v>
      </c>
    </row>
    <row r="8" spans="1:6" x14ac:dyDescent="0.35">
      <c r="A8" s="17" t="s">
        <v>52</v>
      </c>
      <c r="B8">
        <v>5</v>
      </c>
      <c r="E8" s="17" t="s">
        <v>92</v>
      </c>
      <c r="F8" s="18">
        <v>2.6</v>
      </c>
    </row>
    <row r="9" spans="1:6" x14ac:dyDescent="0.35">
      <c r="A9" s="17" t="s">
        <v>124</v>
      </c>
      <c r="B9">
        <v>5</v>
      </c>
      <c r="E9" s="17" t="s">
        <v>87</v>
      </c>
      <c r="F9" s="18">
        <v>2.2000000000000002</v>
      </c>
    </row>
    <row r="10" spans="1:6" x14ac:dyDescent="0.35">
      <c r="A10" s="17" t="s">
        <v>31</v>
      </c>
      <c r="B10">
        <v>5</v>
      </c>
      <c r="E10" s="17" t="s">
        <v>98</v>
      </c>
      <c r="F10" s="18">
        <v>2.1</v>
      </c>
    </row>
    <row r="11" spans="1:6" x14ac:dyDescent="0.35">
      <c r="A11" s="17" t="s">
        <v>19</v>
      </c>
      <c r="B11">
        <v>4.8</v>
      </c>
      <c r="E11" s="17" t="s">
        <v>83</v>
      </c>
      <c r="F11" s="18">
        <v>2.7</v>
      </c>
    </row>
    <row r="12" spans="1:6" x14ac:dyDescent="0.35">
      <c r="A12" s="17" t="s">
        <v>30</v>
      </c>
      <c r="B12">
        <v>5</v>
      </c>
      <c r="E12" s="17" t="s">
        <v>133</v>
      </c>
      <c r="F12" s="18">
        <v>2</v>
      </c>
    </row>
    <row r="13" spans="1:6" x14ac:dyDescent="0.35">
      <c r="A13" s="17" t="s">
        <v>13</v>
      </c>
      <c r="B13">
        <v>4.8</v>
      </c>
      <c r="E13" s="17" t="s">
        <v>95</v>
      </c>
      <c r="F13" s="18">
        <v>2.2999999999999998</v>
      </c>
    </row>
    <row r="14" spans="1:6" x14ac:dyDescent="0.35">
      <c r="A14" s="17" t="s">
        <v>154</v>
      </c>
      <c r="B14">
        <v>4.9399999999999995</v>
      </c>
      <c r="E14" s="17" t="s">
        <v>154</v>
      </c>
      <c r="F14" s="18">
        <v>2.3000000000000003</v>
      </c>
    </row>
    <row r="17" spans="1:6" x14ac:dyDescent="0.35">
      <c r="A17" s="7" t="s">
        <v>158</v>
      </c>
      <c r="E17" s="7" t="s">
        <v>161</v>
      </c>
    </row>
    <row r="18" spans="1:6" x14ac:dyDescent="0.35">
      <c r="A18" s="16" t="s">
        <v>153</v>
      </c>
      <c r="B18" t="s">
        <v>157</v>
      </c>
      <c r="E18" s="16" t="s">
        <v>153</v>
      </c>
      <c r="F18" t="s">
        <v>162</v>
      </c>
    </row>
    <row r="19" spans="1:6" x14ac:dyDescent="0.35">
      <c r="A19" s="17" t="s">
        <v>34</v>
      </c>
      <c r="B19" s="6">
        <v>0.52500000000000002</v>
      </c>
      <c r="E19" s="17" t="s">
        <v>106</v>
      </c>
      <c r="F19" s="1">
        <v>1.9423190111830489E-2</v>
      </c>
    </row>
    <row r="20" spans="1:6" x14ac:dyDescent="0.35">
      <c r="A20" s="17" t="s">
        <v>79</v>
      </c>
      <c r="B20" s="6">
        <v>0.55000000000000004</v>
      </c>
      <c r="E20" s="17" t="s">
        <v>126</v>
      </c>
      <c r="F20" s="1">
        <v>1.2638230647709321E-2</v>
      </c>
    </row>
    <row r="21" spans="1:6" x14ac:dyDescent="0.35">
      <c r="A21" s="17" t="s">
        <v>132</v>
      </c>
      <c r="B21" s="6">
        <v>0.64014466546112114</v>
      </c>
      <c r="E21" s="17" t="s">
        <v>101</v>
      </c>
      <c r="F21" s="1">
        <v>3.7242912729294052E-2</v>
      </c>
    </row>
    <row r="22" spans="1:6" x14ac:dyDescent="0.35">
      <c r="A22" s="17" t="s">
        <v>53</v>
      </c>
      <c r="B22" s="6">
        <v>0.52500000000000002</v>
      </c>
      <c r="E22" s="17" t="s">
        <v>121</v>
      </c>
      <c r="F22" s="1">
        <v>4.1362530413625302E-2</v>
      </c>
    </row>
    <row r="23" spans="1:6" x14ac:dyDescent="0.35">
      <c r="A23" s="17" t="s">
        <v>47</v>
      </c>
      <c r="B23" s="6">
        <v>0.51570680628272247</v>
      </c>
      <c r="E23" s="17" t="s">
        <v>69</v>
      </c>
      <c r="F23" s="1">
        <v>2.6684456304202801E-2</v>
      </c>
    </row>
    <row r="24" spans="1:6" x14ac:dyDescent="0.35">
      <c r="A24" s="17" t="s">
        <v>83</v>
      </c>
      <c r="B24" s="6">
        <v>0.5220588235294118</v>
      </c>
      <c r="E24" s="17" t="s">
        <v>67</v>
      </c>
      <c r="F24" s="1">
        <v>2.2954679223072396E-2</v>
      </c>
    </row>
    <row r="25" spans="1:6" x14ac:dyDescent="0.35">
      <c r="A25" s="17" t="s">
        <v>40</v>
      </c>
      <c r="B25" s="6">
        <v>0.54488888888888887</v>
      </c>
      <c r="E25" s="17" t="s">
        <v>119</v>
      </c>
      <c r="F25" s="1">
        <v>2.4683122081387593E-2</v>
      </c>
    </row>
    <row r="26" spans="1:6" x14ac:dyDescent="0.35">
      <c r="A26" s="17" t="s">
        <v>19</v>
      </c>
      <c r="B26" s="6">
        <v>0.54500000000000004</v>
      </c>
      <c r="E26" s="17" t="s">
        <v>60</v>
      </c>
      <c r="F26" s="1">
        <v>1.705855232826187E-2</v>
      </c>
    </row>
    <row r="27" spans="1:6" x14ac:dyDescent="0.35">
      <c r="A27" s="17" t="s">
        <v>77</v>
      </c>
      <c r="B27" s="6">
        <v>0.53549695740365111</v>
      </c>
      <c r="E27" s="17" t="s">
        <v>130</v>
      </c>
      <c r="F27" s="1">
        <v>2.4131842260153032E-2</v>
      </c>
    </row>
    <row r="28" spans="1:6" x14ac:dyDescent="0.35">
      <c r="A28" s="17" t="s">
        <v>71</v>
      </c>
      <c r="B28" s="6">
        <v>0.5546875</v>
      </c>
      <c r="E28" s="17" t="s">
        <v>131</v>
      </c>
      <c r="F28" s="1">
        <v>1.7231795441912175E-2</v>
      </c>
    </row>
    <row r="29" spans="1:6" x14ac:dyDescent="0.35">
      <c r="A29" s="17" t="s">
        <v>154</v>
      </c>
      <c r="B29" s="6">
        <v>0.54579836415657956</v>
      </c>
      <c r="E29" s="17" t="s">
        <v>154</v>
      </c>
      <c r="F29" s="1">
        <v>2.43411311541449E-2</v>
      </c>
    </row>
    <row r="31" spans="1:6" x14ac:dyDescent="0.35">
      <c r="A31" s="7" t="s">
        <v>163</v>
      </c>
      <c r="E31" s="7" t="s">
        <v>164</v>
      </c>
    </row>
    <row r="32" spans="1:6" x14ac:dyDescent="0.35">
      <c r="A32" s="16" t="s">
        <v>153</v>
      </c>
      <c r="B32" t="s">
        <v>165</v>
      </c>
      <c r="E32" s="16" t="s">
        <v>153</v>
      </c>
      <c r="F32" t="s">
        <v>165</v>
      </c>
    </row>
    <row r="33" spans="1:13" x14ac:dyDescent="0.35">
      <c r="A33" s="17" t="s">
        <v>23</v>
      </c>
      <c r="B33">
        <v>39</v>
      </c>
      <c r="E33" s="17" t="s">
        <v>55</v>
      </c>
      <c r="F33">
        <v>2</v>
      </c>
    </row>
    <row r="34" spans="1:13" x14ac:dyDescent="0.35">
      <c r="A34" s="17" t="s">
        <v>81</v>
      </c>
      <c r="B34">
        <v>69</v>
      </c>
      <c r="E34" s="17" t="s">
        <v>5</v>
      </c>
      <c r="F34">
        <v>2</v>
      </c>
    </row>
    <row r="35" spans="1:13" x14ac:dyDescent="0.35">
      <c r="A35" s="17" t="s">
        <v>17</v>
      </c>
      <c r="B35">
        <v>55</v>
      </c>
      <c r="E35" s="17" t="s">
        <v>28</v>
      </c>
      <c r="F35">
        <v>2</v>
      </c>
    </row>
    <row r="36" spans="1:13" x14ac:dyDescent="0.35">
      <c r="A36" s="17" t="s">
        <v>33</v>
      </c>
      <c r="B36">
        <v>44</v>
      </c>
      <c r="E36" s="17" t="s">
        <v>104</v>
      </c>
      <c r="F36">
        <v>1</v>
      </c>
    </row>
    <row r="37" spans="1:13" x14ac:dyDescent="0.35">
      <c r="A37" s="17" t="s">
        <v>45</v>
      </c>
      <c r="B37">
        <v>20</v>
      </c>
      <c r="E37" s="17" t="s">
        <v>53</v>
      </c>
      <c r="F37">
        <v>2</v>
      </c>
    </row>
    <row r="38" spans="1:13" x14ac:dyDescent="0.35">
      <c r="A38" s="17" t="s">
        <v>51</v>
      </c>
      <c r="B38">
        <v>32</v>
      </c>
      <c r="E38" s="17" t="s">
        <v>18</v>
      </c>
      <c r="F38">
        <v>2</v>
      </c>
    </row>
    <row r="39" spans="1:13" x14ac:dyDescent="0.35">
      <c r="A39" s="17" t="s">
        <v>50</v>
      </c>
      <c r="B39">
        <v>20</v>
      </c>
      <c r="E39" s="17" t="s">
        <v>52</v>
      </c>
      <c r="F39">
        <v>1</v>
      </c>
    </row>
    <row r="40" spans="1:13" x14ac:dyDescent="0.35">
      <c r="A40" s="17" t="s">
        <v>42</v>
      </c>
      <c r="B40">
        <v>49</v>
      </c>
      <c r="E40" s="17" t="s">
        <v>107</v>
      </c>
      <c r="F40">
        <v>1</v>
      </c>
    </row>
    <row r="41" spans="1:13" x14ac:dyDescent="0.35">
      <c r="A41" s="17" t="s">
        <v>9</v>
      </c>
      <c r="B41">
        <v>24</v>
      </c>
      <c r="E41" s="17" t="s">
        <v>124</v>
      </c>
      <c r="F41">
        <v>1</v>
      </c>
    </row>
    <row r="42" spans="1:13" x14ac:dyDescent="0.35">
      <c r="A42" s="17" t="s">
        <v>54</v>
      </c>
      <c r="B42">
        <v>36</v>
      </c>
      <c r="E42" s="17" t="s">
        <v>103</v>
      </c>
      <c r="F42">
        <v>1</v>
      </c>
    </row>
    <row r="43" spans="1:13" x14ac:dyDescent="0.35">
      <c r="A43" s="17" t="s">
        <v>154</v>
      </c>
      <c r="B43">
        <v>38.799999999999997</v>
      </c>
      <c r="E43" s="17" t="s">
        <v>30</v>
      </c>
      <c r="F43">
        <v>2</v>
      </c>
      <c r="L43" s="16" t="s">
        <v>153</v>
      </c>
      <c r="M43" t="s">
        <v>174</v>
      </c>
    </row>
    <row r="44" spans="1:13" x14ac:dyDescent="0.35">
      <c r="E44" s="17" t="s">
        <v>133</v>
      </c>
      <c r="F44">
        <v>1</v>
      </c>
      <c r="L44" s="17" t="s">
        <v>166</v>
      </c>
      <c r="M44">
        <v>60</v>
      </c>
    </row>
    <row r="45" spans="1:13" x14ac:dyDescent="0.35">
      <c r="E45" s="17" t="s">
        <v>154</v>
      </c>
      <c r="F45">
        <v>1.5</v>
      </c>
      <c r="L45" s="17" t="s">
        <v>167</v>
      </c>
      <c r="M45">
        <v>18</v>
      </c>
    </row>
    <row r="46" spans="1:13" x14ac:dyDescent="0.35">
      <c r="L46" s="17" t="s">
        <v>168</v>
      </c>
      <c r="M46">
        <v>31</v>
      </c>
    </row>
    <row r="47" spans="1:13" x14ac:dyDescent="0.35">
      <c r="L47" s="17" t="s">
        <v>172</v>
      </c>
      <c r="M47">
        <v>12</v>
      </c>
    </row>
    <row r="48" spans="1:13" x14ac:dyDescent="0.35">
      <c r="L48" s="17" t="s">
        <v>154</v>
      </c>
      <c r="M48">
        <v>121</v>
      </c>
    </row>
    <row r="50" spans="1:13" x14ac:dyDescent="0.35">
      <c r="A50" t="s">
        <v>171</v>
      </c>
    </row>
    <row r="51" spans="1:13" x14ac:dyDescent="0.35">
      <c r="A51" s="16" t="s">
        <v>153</v>
      </c>
      <c r="B51" t="s">
        <v>169</v>
      </c>
      <c r="C51" t="s">
        <v>170</v>
      </c>
      <c r="D51" t="s">
        <v>173</v>
      </c>
    </row>
    <row r="52" spans="1:13" x14ac:dyDescent="0.35">
      <c r="A52" s="17" t="s">
        <v>166</v>
      </c>
      <c r="B52" s="4">
        <v>10.806451612903226</v>
      </c>
      <c r="C52" s="19">
        <v>3.6580645161290311</v>
      </c>
      <c r="D52" s="6">
        <v>0.48182239999852183</v>
      </c>
    </row>
    <row r="53" spans="1:13" x14ac:dyDescent="0.35">
      <c r="A53" s="17" t="s">
        <v>167</v>
      </c>
      <c r="B53" s="4">
        <v>9.5</v>
      </c>
      <c r="C53" s="19">
        <v>3.7249999999999996</v>
      </c>
      <c r="D53" s="6">
        <v>7.227592305560436E-2</v>
      </c>
      <c r="L53" s="16" t="s">
        <v>153</v>
      </c>
      <c r="M53" t="s">
        <v>187</v>
      </c>
    </row>
    <row r="54" spans="1:13" x14ac:dyDescent="0.35">
      <c r="A54" s="17" t="s">
        <v>168</v>
      </c>
      <c r="B54" s="4">
        <v>15.909090909090908</v>
      </c>
      <c r="C54" s="19">
        <v>4.245454545454546</v>
      </c>
      <c r="D54" s="6">
        <v>0.30529162022759265</v>
      </c>
      <c r="L54" s="17" t="s">
        <v>172</v>
      </c>
      <c r="M54">
        <v>12</v>
      </c>
    </row>
    <row r="55" spans="1:13" x14ac:dyDescent="0.35">
      <c r="A55" s="17" t="s">
        <v>154</v>
      </c>
      <c r="B55" s="4">
        <v>12.684210526315789</v>
      </c>
      <c r="C55" s="19">
        <v>3.8894736842105244</v>
      </c>
      <c r="D55" s="6">
        <v>0.36714123251752806</v>
      </c>
      <c r="L55" s="17" t="s">
        <v>186</v>
      </c>
      <c r="M55">
        <v>12</v>
      </c>
    </row>
    <row r="56" spans="1:13" x14ac:dyDescent="0.35">
      <c r="L56" s="17" t="s">
        <v>185</v>
      </c>
      <c r="M56">
        <v>75</v>
      </c>
    </row>
    <row r="57" spans="1:13" x14ac:dyDescent="0.35">
      <c r="L57" s="17" t="s">
        <v>184</v>
      </c>
      <c r="M57">
        <v>22</v>
      </c>
    </row>
    <row r="58" spans="1:13" x14ac:dyDescent="0.35">
      <c r="L58" s="17" t="s">
        <v>154</v>
      </c>
      <c r="M58">
        <v>121</v>
      </c>
    </row>
    <row r="59" spans="1:13" x14ac:dyDescent="0.35">
      <c r="A59" s="16" t="s">
        <v>153</v>
      </c>
      <c r="B59" t="s">
        <v>183</v>
      </c>
      <c r="C59" t="s">
        <v>181</v>
      </c>
      <c r="D59" t="s">
        <v>182</v>
      </c>
      <c r="E59" t="s">
        <v>180</v>
      </c>
    </row>
    <row r="60" spans="1:13" x14ac:dyDescent="0.35">
      <c r="A60" s="17" t="s">
        <v>54</v>
      </c>
      <c r="B60" s="6">
        <v>0.40701219512195119</v>
      </c>
      <c r="C60">
        <v>4.3</v>
      </c>
      <c r="D60">
        <v>36</v>
      </c>
      <c r="E60">
        <v>16.0075</v>
      </c>
    </row>
    <row r="61" spans="1:13" x14ac:dyDescent="0.35">
      <c r="A61" s="17" t="s">
        <v>9</v>
      </c>
      <c r="B61" s="6">
        <v>0.24769072870338693</v>
      </c>
      <c r="C61">
        <v>4.5999999999999996</v>
      </c>
      <c r="D61">
        <v>24</v>
      </c>
      <c r="E61">
        <v>11.272500000000001</v>
      </c>
    </row>
    <row r="62" spans="1:13" x14ac:dyDescent="0.35">
      <c r="A62" s="17" t="s">
        <v>42</v>
      </c>
      <c r="B62" s="6">
        <v>0.3508500772797527</v>
      </c>
      <c r="C62">
        <v>4.5999999999999996</v>
      </c>
      <c r="D62">
        <v>49</v>
      </c>
      <c r="E62">
        <v>21.297499999999999</v>
      </c>
    </row>
    <row r="63" spans="1:13" x14ac:dyDescent="0.35">
      <c r="A63" s="17" t="s">
        <v>50</v>
      </c>
      <c r="B63" s="6">
        <v>0.26792452830188679</v>
      </c>
      <c r="C63">
        <v>4.7</v>
      </c>
      <c r="D63">
        <v>20</v>
      </c>
      <c r="E63">
        <v>9.7125000000000004</v>
      </c>
    </row>
    <row r="64" spans="1:13" x14ac:dyDescent="0.35">
      <c r="A64" s="17" t="s">
        <v>51</v>
      </c>
      <c r="B64" s="6">
        <v>0.26639496109670247</v>
      </c>
      <c r="C64">
        <v>4.5</v>
      </c>
      <c r="D64">
        <v>32</v>
      </c>
      <c r="E64">
        <v>14.442500000000001</v>
      </c>
    </row>
    <row r="65" spans="1:5" x14ac:dyDescent="0.35">
      <c r="A65" s="17" t="s">
        <v>45</v>
      </c>
      <c r="B65" s="6">
        <v>0.2965186074429772</v>
      </c>
      <c r="C65">
        <v>4.0999999999999996</v>
      </c>
      <c r="D65">
        <v>20</v>
      </c>
      <c r="E65">
        <v>9.51</v>
      </c>
    </row>
    <row r="66" spans="1:5" x14ac:dyDescent="0.35">
      <c r="A66" s="17" t="s">
        <v>33</v>
      </c>
      <c r="B66" s="6">
        <v>0.49237029501525942</v>
      </c>
      <c r="C66">
        <v>4.5999999999999996</v>
      </c>
      <c r="D66">
        <v>44</v>
      </c>
      <c r="E66">
        <v>19.3325</v>
      </c>
    </row>
    <row r="67" spans="1:5" x14ac:dyDescent="0.35">
      <c r="A67" s="17" t="s">
        <v>17</v>
      </c>
      <c r="B67" s="6">
        <v>0.23515831134564644</v>
      </c>
      <c r="C67">
        <v>4.5999999999999996</v>
      </c>
      <c r="D67">
        <v>55</v>
      </c>
      <c r="E67">
        <v>23.669999999999998</v>
      </c>
    </row>
    <row r="68" spans="1:5" x14ac:dyDescent="0.35">
      <c r="A68" s="17" t="s">
        <v>81</v>
      </c>
      <c r="B68" s="6">
        <v>0.49026345933562426</v>
      </c>
      <c r="C68">
        <v>2.8</v>
      </c>
      <c r="D68">
        <v>69</v>
      </c>
      <c r="E68">
        <v>28.702500000000001</v>
      </c>
    </row>
    <row r="69" spans="1:5" x14ac:dyDescent="0.35">
      <c r="A69" s="17" t="s">
        <v>23</v>
      </c>
      <c r="B69" s="6">
        <v>0.34</v>
      </c>
      <c r="C69">
        <v>4.7</v>
      </c>
      <c r="D69">
        <v>39</v>
      </c>
      <c r="E69">
        <v>17.330000000000002</v>
      </c>
    </row>
    <row r="70" spans="1:5" x14ac:dyDescent="0.35">
      <c r="A70" s="17" t="s">
        <v>154</v>
      </c>
      <c r="B70" s="6">
        <v>0.33941831636431874</v>
      </c>
      <c r="C70">
        <v>4.3499999999999996</v>
      </c>
      <c r="D70">
        <v>38.799999999999997</v>
      </c>
      <c r="E70">
        <v>28.702500000000001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30B27-50BF-4BFC-A463-B0055FBA3A82}">
  <dimension ref="A1"/>
  <sheetViews>
    <sheetView topLeftCell="A10" workbookViewId="0">
      <selection activeCell="G36" sqref="F36:G36"/>
    </sheetView>
  </sheetViews>
  <sheetFormatPr defaultRowHeight="14.5" x14ac:dyDescent="0.35"/>
  <cols>
    <col min="1" max="16384" width="8.7265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Excel_jumia_dataset assignment </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Mwai Victor</dc:creator>
  <cp:lastModifiedBy>Mwai Victor</cp:lastModifiedBy>
  <dcterms:created xsi:type="dcterms:W3CDTF">2026-06-10T21:57:26Z</dcterms:created>
  <dcterms:modified xsi:type="dcterms:W3CDTF">2026-06-12T20:34:20Z</dcterms:modified>
</cp:coreProperties>
</file>